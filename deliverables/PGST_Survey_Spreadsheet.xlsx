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Calc" sheetId="1" r:id="rId4"/>
  </sheets>
  <definedNames/>
  <calcPr/>
  <extLst>
    <ext uri="GoogleSheetsCustomDataVersion2">
      <go:sheetsCustomData xmlns:go="http://customooxmlschemas.google.com/" r:id="rId5" roundtripDataChecksum="SWkRKTCgVX6f5v+fEI1RhdpNCr3gmb/q1gccnS7PhJk="/>
    </ext>
  </extLst>
</workbook>
</file>

<file path=xl/sharedStrings.xml><?xml version="1.0" encoding="utf-8"?>
<sst xmlns="http://schemas.openxmlformats.org/spreadsheetml/2006/main" count="102" uniqueCount="85">
  <si>
    <t>Estimated annual values based on disaggregated propane data for current campus operations</t>
  </si>
  <si>
    <t>Estimated Y1 Energy Costs &amp; Electrification Savings</t>
  </si>
  <si>
    <t>Building</t>
  </si>
  <si>
    <t xml:space="preserve">Propane </t>
  </si>
  <si>
    <t>Annual use of</t>
  </si>
  <si>
    <t>Annual CO2</t>
  </si>
  <si>
    <t>Annual Fuel Heating</t>
  </si>
  <si>
    <t>Annual Useful</t>
  </si>
  <si>
    <t>Electricity to Deliver</t>
  </si>
  <si>
    <t>Max Rooftop Solar</t>
  </si>
  <si>
    <t>Y1 Energy Cost</t>
  </si>
  <si>
    <t>Y1 Energy Savings</t>
  </si>
  <si>
    <t>% of New Load</t>
  </si>
  <si>
    <t>Device</t>
  </si>
  <si>
    <t>Propane (gal)</t>
  </si>
  <si>
    <t>Emissions (kg)</t>
  </si>
  <si>
    <t>Propane (kg)</t>
  </si>
  <si>
    <t>Value (GJ)</t>
  </si>
  <si>
    <t>Heat (GJ)</t>
  </si>
  <si>
    <t>Heat (MWh)</t>
  </si>
  <si>
    <t>Same Useful Heat (MWh)</t>
  </si>
  <si>
    <t>Potential (MWh/y)</t>
  </si>
  <si>
    <t>w/ Propane ($)</t>
  </si>
  <si>
    <t>w/ HPs ($)</t>
  </si>
  <si>
    <t>w/ new Tech ($)</t>
  </si>
  <si>
    <t>Offset by Solar</t>
  </si>
  <si>
    <t>DESCRIPTIONS</t>
  </si>
  <si>
    <t>1. Administration</t>
  </si>
  <si>
    <t>add solar PV</t>
  </si>
  <si>
    <t>Column C=</t>
  </si>
  <si>
    <t>Average estimated annual usage in gallons, 2023-2025</t>
  </si>
  <si>
    <t>2. Gym</t>
  </si>
  <si>
    <t>HVAC</t>
  </si>
  <si>
    <t>Column D=</t>
  </si>
  <si>
    <t>(column C)*(epa emission factor lb-CO2/gal-propane)*(unit conversion kg/lb)</t>
  </si>
  <si>
    <t>Column E=</t>
  </si>
  <si>
    <t>(column C)*(propane density@60F lb/gal)*(unit conversion kg/lb)</t>
  </si>
  <si>
    <t>3. Community Kitchen</t>
  </si>
  <si>
    <t>Stove</t>
  </si>
  <si>
    <t>Column F=</t>
  </si>
  <si>
    <t>(column E)*(Higher Heating Value of propane MJ/kg)*(unit conversion  0.001  GJ/MJ)</t>
  </si>
  <si>
    <t>Column G=</t>
  </si>
  <si>
    <t>(column F)*(typical HVAC or DHW AFUE) … use 0.8 unless you know better (boiler is 0.83)...don’t compute for stove</t>
  </si>
  <si>
    <t>4. Youth Center</t>
  </si>
  <si>
    <t>Column H=</t>
  </si>
  <si>
    <t>(column G)*(unit conversion MWh/GJ)</t>
  </si>
  <si>
    <t>Column I=</t>
  </si>
  <si>
    <t>(column H)/(heating season &lt;COP&gt; or typical COP for a heat pump water heaters)</t>
  </si>
  <si>
    <t xml:space="preserve">5. Natural Resources </t>
  </si>
  <si>
    <t>Column K=</t>
  </si>
  <si>
    <t>I enters numbers from presentation</t>
  </si>
  <si>
    <t>6. CFS/Police/Court</t>
  </si>
  <si>
    <t>Column M=</t>
  </si>
  <si>
    <t>(column C)*(proprane price in Y1 $/gal)</t>
  </si>
  <si>
    <t>7. Cultural Resources</t>
  </si>
  <si>
    <t>Column N=</t>
  </si>
  <si>
    <t>(column I)*(winter price for Schedule 24 in $/MWh)</t>
  </si>
  <si>
    <t>Column O=</t>
  </si>
  <si>
    <t>(Column M)-(Column N) or Net Metered solar savings vs propane</t>
  </si>
  <si>
    <t>8. Library</t>
  </si>
  <si>
    <t>Column P=</t>
  </si>
  <si>
    <t>Percent of new load solar can offset. If 100% than there is potential to offset some existing electricity use as well.</t>
  </si>
  <si>
    <t>9. Longhouse &amp;</t>
  </si>
  <si>
    <t>10. Education Center</t>
  </si>
  <si>
    <t>OTHER INPUT VALUES NEEDED (Check)</t>
  </si>
  <si>
    <t>140F LWT Average COP = 2.45 kWh heat / kWh electricty</t>
  </si>
  <si>
    <t>11. Elders Center</t>
  </si>
  <si>
    <t>Heating Season Averaged ASHP  &lt;COP&gt;</t>
  </si>
  <si>
    <t>170F LWT Average COP = 1.74 kWh heat / kWh electricty</t>
  </si>
  <si>
    <t>COP for HP water heater</t>
  </si>
  <si>
    <t xml:space="preserve">12. Early Childhood Ed </t>
  </si>
  <si>
    <t>DHW</t>
  </si>
  <si>
    <t>Propane Cost ($/gal)</t>
  </si>
  <si>
    <t>Electricity Cost - winter SCH 24 ($/MWh)</t>
  </si>
  <si>
    <t>Electricity Cost - summer SCH 24 ($/MWh)</t>
  </si>
  <si>
    <t>SUM of Propane (gal/y)</t>
  </si>
  <si>
    <t>Actual Annual Deliveries (2023)</t>
  </si>
  <si>
    <t>Actual Annual Deliveries (2024)</t>
  </si>
  <si>
    <t>Actual Annual Deliveries (2025)</t>
  </si>
  <si>
    <t>Average Actual Annual Deliveries</t>
  </si>
  <si>
    <t>Cleaned Annual Deliveries (2023)</t>
  </si>
  <si>
    <t>Cleaned Annual Deliveries (2024)</t>
  </si>
  <si>
    <t>Cleaned Annual Deliveries (2025)</t>
  </si>
  <si>
    <t>Average Cleaned Annual Deliveries</t>
  </si>
  <si>
    <t>Some gallons lost from cleaning, prorating, and rounding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</si>
</sst>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_);[Red]\(&quot;$&quot;#,##0\)"/>
    <numFmt numFmtId="166" formatCode="&quot;$&quot;#,##0"/>
  </numFmts>
  <fonts count="11">
    <font>
      <sz val="12.0"/>
      <color theme="1"/>
      <name val="Aptos Narrow"/>
      <scheme val="minor"/>
    </font>
    <font>
      <b/>
      <sz val="12.0"/>
      <color theme="1"/>
      <name val="Aptos Narrow"/>
    </font>
    <font/>
    <font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i/>
      <sz val="12.0"/>
      <color theme="1"/>
      <name val="Aptos Narrow"/>
    </font>
    <font>
      <color theme="1"/>
      <name val="Arial"/>
    </font>
    <font>
      <b/>
      <sz val="12.0"/>
      <color theme="1"/>
      <name val="Arial"/>
    </font>
    <font>
      <sz val="12.0"/>
      <color rgb="FF000000"/>
      <name val="Aptos Narrow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</fills>
  <borders count="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Alignment="1" applyFont="1">
      <alignment horizont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1" fillId="0" fontId="4" numFmtId="0" xfId="0" applyBorder="1" applyFont="1"/>
    <xf borderId="2" fillId="2" fontId="5" numFmtId="0" xfId="0" applyAlignment="1" applyBorder="1" applyFill="1" applyFont="1">
      <alignment readingOrder="0"/>
    </xf>
    <xf borderId="0" fillId="0" fontId="4" numFmtId="1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4" numFmtId="9" xfId="0" applyAlignment="1" applyFont="1" applyNumberFormat="1">
      <alignment horizontal="right"/>
    </xf>
    <xf borderId="1" fillId="0" fontId="6" numFmtId="0" xfId="0" applyAlignment="1" applyBorder="1" applyFont="1">
      <alignment horizontal="right"/>
    </xf>
    <xf borderId="1" fillId="0" fontId="4" numFmtId="1" xfId="0" applyBorder="1" applyFont="1" applyNumberFormat="1"/>
    <xf borderId="1" fillId="0" fontId="4" numFmtId="164" xfId="0" applyBorder="1" applyFont="1" applyNumberFormat="1"/>
    <xf borderId="3" fillId="0" fontId="4" numFmtId="0" xfId="0" applyBorder="1" applyFont="1"/>
    <xf borderId="1" fillId="0" fontId="4" numFmtId="165" xfId="0" applyBorder="1" applyFont="1" applyNumberFormat="1"/>
    <xf borderId="1" fillId="0" fontId="4" numFmtId="9" xfId="0" applyAlignment="1" applyBorder="1" applyFont="1" applyNumberFormat="1">
      <alignment horizontal="right"/>
    </xf>
    <xf borderId="4" fillId="2" fontId="5" numFmtId="0" xfId="0" applyAlignment="1" applyBorder="1" applyFont="1">
      <alignment horizontal="left" readingOrder="0"/>
    </xf>
    <xf borderId="5" fillId="0" fontId="2" numFmtId="0" xfId="0" applyBorder="1" applyFont="1"/>
    <xf borderId="6" fillId="0" fontId="2" numFmtId="0" xfId="0" applyBorder="1" applyFont="1"/>
    <xf borderId="0" fillId="0" fontId="7" numFmtId="0" xfId="0" applyAlignment="1" applyFont="1">
      <alignment readingOrder="0"/>
    </xf>
    <xf borderId="0" fillId="3" fontId="5" numFmtId="164" xfId="0" applyAlignment="1" applyFill="1" applyFont="1" applyNumberFormat="1">
      <alignment readingOrder="0"/>
    </xf>
    <xf borderId="0" fillId="3" fontId="4" numFmtId="164" xfId="0" applyFont="1" applyNumberFormat="1"/>
    <xf borderId="0" fillId="3" fontId="5" numFmtId="165" xfId="0" applyAlignment="1" applyFont="1" applyNumberFormat="1">
      <alignment readingOrder="0"/>
    </xf>
    <xf borderId="0" fillId="3" fontId="4" numFmtId="165" xfId="0" applyFont="1" applyNumberFormat="1"/>
    <xf borderId="1" fillId="0" fontId="5" numFmtId="165" xfId="0" applyAlignment="1" applyBorder="1" applyFont="1" applyNumberFormat="1">
      <alignment readingOrder="0"/>
    </xf>
    <xf borderId="2" fillId="0" fontId="5" numFmtId="0" xfId="0" applyAlignment="1" applyBorder="1" applyFont="1">
      <alignment readingOrder="0"/>
    </xf>
    <xf borderId="2" fillId="4" fontId="4" numFmtId="0" xfId="0" applyBorder="1" applyFill="1" applyFont="1"/>
    <xf borderId="0" fillId="0" fontId="8" numFmtId="0" xfId="0" applyAlignment="1" applyFont="1">
      <alignment readingOrder="0"/>
    </xf>
    <xf borderId="4" fillId="0" fontId="4" numFmtId="0" xfId="0" applyAlignment="1" applyBorder="1" applyFont="1">
      <alignment horizontal="left"/>
    </xf>
    <xf borderId="2" fillId="0" fontId="4" numFmtId="0" xfId="0" applyBorder="1" applyFont="1"/>
    <xf borderId="2" fillId="5" fontId="4" numFmtId="164" xfId="0" applyBorder="1" applyFill="1" applyFont="1" applyNumberFormat="1"/>
    <xf borderId="2" fillId="5" fontId="9" numFmtId="165" xfId="0" applyBorder="1" applyFont="1" applyNumberFormat="1"/>
    <xf borderId="0" fillId="0" fontId="9" numFmtId="9" xfId="0" applyAlignment="1" applyFont="1" applyNumberFormat="1">
      <alignment horizontal="right"/>
    </xf>
    <xf borderId="0" fillId="0" fontId="4" numFmtId="166" xfId="0" applyFont="1" applyNumberFormat="1"/>
    <xf borderId="0" fillId="0" fontId="4" numFmtId="9" xfId="0" applyFont="1" applyNumberFormat="1"/>
    <xf borderId="0" fillId="2" fontId="7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2" width="10.0"/>
    <col customWidth="1" min="3" max="3" width="12.11"/>
    <col customWidth="1" min="4" max="5" width="12.78"/>
    <col customWidth="1" min="6" max="6" width="17.78"/>
    <col customWidth="1" min="7" max="7" width="13.33"/>
    <col customWidth="1" min="8" max="8" width="16.0"/>
    <col customWidth="1" min="9" max="9" width="23.11"/>
    <col customWidth="1" min="10" max="10" width="5.78"/>
    <col customWidth="1" min="11" max="11" width="15.67"/>
    <col customWidth="1" min="12" max="12" width="6.67"/>
    <col customWidth="1" min="13" max="13" width="15.44"/>
    <col customWidth="1" min="14" max="14" width="15.33"/>
    <col customWidth="1" min="15" max="15" width="16.0"/>
    <col customWidth="1" min="16" max="16" width="13.11"/>
    <col customWidth="1" min="17" max="17" width="6.67"/>
    <col customWidth="1" min="18" max="19" width="6.78"/>
    <col customWidth="1" min="20" max="21" width="10.56"/>
    <col customWidth="1" min="22" max="22" width="14.11"/>
    <col customWidth="1" min="23" max="23" width="14.0"/>
    <col customWidth="1" min="24" max="28" width="10.56"/>
  </cols>
  <sheetData>
    <row r="1" ht="15.75" customHeight="1">
      <c r="C1" s="1" t="s">
        <v>0</v>
      </c>
      <c r="D1" s="2"/>
      <c r="E1" s="2"/>
      <c r="F1" s="2"/>
      <c r="G1" s="2"/>
      <c r="H1" s="2"/>
      <c r="I1" s="2"/>
      <c r="J1" s="3"/>
      <c r="K1" s="1"/>
      <c r="M1" s="1" t="s">
        <v>1</v>
      </c>
      <c r="N1" s="2"/>
      <c r="O1" s="2"/>
      <c r="P1" s="2"/>
    </row>
    <row r="2" ht="15.75" customHeight="1">
      <c r="A2" s="4" t="s">
        <v>2</v>
      </c>
      <c r="B2" s="5" t="s">
        <v>3</v>
      </c>
      <c r="C2" s="5" t="s">
        <v>4</v>
      </c>
      <c r="D2" s="5" t="s">
        <v>5</v>
      </c>
      <c r="E2" s="5" t="s">
        <v>4</v>
      </c>
      <c r="F2" s="5" t="s">
        <v>6</v>
      </c>
      <c r="G2" s="5" t="s">
        <v>7</v>
      </c>
      <c r="H2" s="5" t="s">
        <v>7</v>
      </c>
      <c r="I2" s="5" t="s">
        <v>8</v>
      </c>
      <c r="J2" s="6"/>
      <c r="K2" s="6" t="s">
        <v>9</v>
      </c>
      <c r="M2" s="5" t="s">
        <v>10</v>
      </c>
      <c r="N2" s="5" t="s">
        <v>10</v>
      </c>
      <c r="O2" s="5" t="s">
        <v>11</v>
      </c>
      <c r="P2" s="5" t="s">
        <v>12</v>
      </c>
    </row>
    <row r="3" ht="15.75" customHeight="1">
      <c r="A3" s="7"/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6"/>
      <c r="K3" s="7" t="s">
        <v>21</v>
      </c>
      <c r="M3" s="7" t="s">
        <v>22</v>
      </c>
      <c r="N3" s="7" t="s">
        <v>23</v>
      </c>
      <c r="O3" s="7" t="s">
        <v>24</v>
      </c>
      <c r="P3" s="7" t="s">
        <v>25</v>
      </c>
      <c r="Q3" s="6"/>
      <c r="S3" s="5" t="s">
        <v>26</v>
      </c>
    </row>
    <row r="4" ht="15.75" customHeight="1">
      <c r="A4" s="4" t="s">
        <v>27</v>
      </c>
      <c r="C4" s="8">
        <v>0.0</v>
      </c>
      <c r="D4" s="9">
        <f>C4*12.5/2.2</f>
        <v>0</v>
      </c>
      <c r="E4" s="10">
        <f>C4*4.2/2.2</f>
        <v>0</v>
      </c>
      <c r="F4" s="10">
        <f>E4*50.2*0.001</f>
        <v>0</v>
      </c>
      <c r="G4" s="10">
        <f>F4*0.8</f>
        <v>0</v>
      </c>
      <c r="H4" s="10">
        <f>G4*0.27778</f>
        <v>0</v>
      </c>
      <c r="I4" s="10">
        <f>H4/$V$23</f>
        <v>0</v>
      </c>
      <c r="J4" s="6"/>
      <c r="M4" s="11">
        <f>$V$26*C4</f>
        <v>0</v>
      </c>
      <c r="N4" s="11">
        <f>$V$27*I4</f>
        <v>0</v>
      </c>
      <c r="O4" s="11">
        <f>M4-N4</f>
        <v>0</v>
      </c>
      <c r="P4" s="12"/>
      <c r="Q4" s="11"/>
    </row>
    <row r="5" ht="15.75" customHeight="1">
      <c r="A5" s="13" t="s">
        <v>28</v>
      </c>
      <c r="B5" s="7"/>
      <c r="C5" s="7"/>
      <c r="D5" s="14"/>
      <c r="E5" s="15"/>
      <c r="F5" s="15"/>
      <c r="G5" s="15"/>
      <c r="H5" s="15"/>
      <c r="I5" s="15"/>
      <c r="J5" s="7"/>
      <c r="K5" s="16">
        <v>111.0</v>
      </c>
      <c r="L5" s="7"/>
      <c r="M5" s="17"/>
      <c r="N5" s="17"/>
      <c r="O5" s="17">
        <f>MIN((K5*$V$28+M4-N4),(M4))</f>
        <v>0</v>
      </c>
      <c r="P5" s="18" t="str">
        <f>MIN(1,K5/(I4))</f>
        <v>#DIV/0!</v>
      </c>
      <c r="S5" s="5" t="s">
        <v>29</v>
      </c>
      <c r="T5" s="19" t="s">
        <v>30</v>
      </c>
      <c r="U5" s="20"/>
      <c r="V5" s="20"/>
      <c r="W5" s="20"/>
      <c r="X5" s="20"/>
      <c r="Y5" s="20"/>
      <c r="Z5" s="20"/>
      <c r="AA5" s="21"/>
    </row>
    <row r="6" ht="15.75" customHeight="1">
      <c r="A6" s="4" t="s">
        <v>31</v>
      </c>
      <c r="B6" s="5" t="s">
        <v>32</v>
      </c>
      <c r="C6" s="8">
        <v>2745.0</v>
      </c>
      <c r="D6" s="9">
        <f>C6*12.5/2.2</f>
        <v>15596.59091</v>
      </c>
      <c r="E6" s="10">
        <f>C6*4.2/2.2</f>
        <v>5240.454545</v>
      </c>
      <c r="F6" s="10">
        <f>E6*50.2*0.001</f>
        <v>263.0708182</v>
      </c>
      <c r="G6" s="10">
        <f>F6*0.8</f>
        <v>210.4566545</v>
      </c>
      <c r="H6" s="10">
        <f>G6*0.27778</f>
        <v>58.4606495</v>
      </c>
      <c r="I6" s="10">
        <f>H6/$V$23</f>
        <v>26.5730225</v>
      </c>
      <c r="J6" s="6"/>
      <c r="K6" s="6"/>
      <c r="M6" s="11">
        <f>$V$26*C6</f>
        <v>4611.6</v>
      </c>
      <c r="N6" s="11">
        <f>$V$27*I6</f>
        <v>2536.394998</v>
      </c>
      <c r="O6" s="11">
        <f>M6-N6</f>
        <v>2075.205002</v>
      </c>
      <c r="P6" s="12"/>
      <c r="S6" s="5" t="s">
        <v>33</v>
      </c>
      <c r="T6" s="5" t="s">
        <v>34</v>
      </c>
    </row>
    <row r="7" ht="15.75" customHeight="1">
      <c r="A7" s="13" t="s">
        <v>28</v>
      </c>
      <c r="B7" s="7"/>
      <c r="C7" s="7"/>
      <c r="D7" s="14"/>
      <c r="E7" s="15"/>
      <c r="F7" s="15"/>
      <c r="G7" s="15"/>
      <c r="H7" s="15"/>
      <c r="I7" s="15"/>
      <c r="J7" s="7"/>
      <c r="K7" s="16">
        <v>105.0</v>
      </c>
      <c r="L7" s="7"/>
      <c r="M7" s="17"/>
      <c r="N7" s="17"/>
      <c r="O7" s="17">
        <f>MIN((K7*$V$28+M6-N6),(M6))</f>
        <v>4611.6</v>
      </c>
      <c r="P7" s="18">
        <f>MIN(1,K7/(I6))</f>
        <v>1</v>
      </c>
      <c r="S7" s="5" t="s">
        <v>35</v>
      </c>
      <c r="T7" s="5" t="s">
        <v>36</v>
      </c>
    </row>
    <row r="8" ht="15.75" customHeight="1">
      <c r="A8" s="4" t="s">
        <v>37</v>
      </c>
      <c r="B8" s="22" t="s">
        <v>38</v>
      </c>
      <c r="C8" s="8">
        <v>34.0</v>
      </c>
      <c r="D8" s="9">
        <f>C8*12.5/2.2</f>
        <v>193.1818182</v>
      </c>
      <c r="E8" s="23"/>
      <c r="F8" s="24"/>
      <c r="G8" s="24"/>
      <c r="H8" s="24"/>
      <c r="I8" s="24"/>
      <c r="J8" s="6"/>
      <c r="K8" s="6"/>
      <c r="M8" s="25"/>
      <c r="N8" s="26"/>
      <c r="O8" s="11">
        <f>M8-N8</f>
        <v>0</v>
      </c>
      <c r="P8" s="12"/>
      <c r="S8" s="5" t="s">
        <v>39</v>
      </c>
      <c r="T8" s="5" t="s">
        <v>40</v>
      </c>
    </row>
    <row r="9" ht="15.75" customHeight="1">
      <c r="A9" s="13" t="s">
        <v>28</v>
      </c>
      <c r="B9" s="7"/>
      <c r="C9" s="7"/>
      <c r="D9" s="14"/>
      <c r="E9" s="15"/>
      <c r="F9" s="15"/>
      <c r="G9" s="15"/>
      <c r="H9" s="15"/>
      <c r="I9" s="15"/>
      <c r="J9" s="7"/>
      <c r="K9" s="16">
        <v>76.0</v>
      </c>
      <c r="L9" s="7"/>
      <c r="M9" s="17"/>
      <c r="N9" s="17"/>
      <c r="O9" s="17">
        <f>MIN((K9*$V$28+M8-N8),(M8))</f>
        <v>7015.56</v>
      </c>
      <c r="P9" s="18" t="str">
        <f>MIN(1,K9/(I8))</f>
        <v>#DIV/0!</v>
      </c>
      <c r="S9" s="5" t="s">
        <v>41</v>
      </c>
      <c r="T9" s="5" t="s">
        <v>42</v>
      </c>
    </row>
    <row r="10" ht="15.75" customHeight="1">
      <c r="A10" s="4" t="s">
        <v>43</v>
      </c>
      <c r="C10" s="8">
        <v>0.0</v>
      </c>
      <c r="D10" s="9">
        <f>C10*12.5/2.2</f>
        <v>0</v>
      </c>
      <c r="E10" s="10">
        <f>C10*4.2/2.2</f>
        <v>0</v>
      </c>
      <c r="F10" s="10">
        <f>E10*50.2*0.001</f>
        <v>0</v>
      </c>
      <c r="G10" s="10">
        <f>F10*0.8</f>
        <v>0</v>
      </c>
      <c r="H10" s="10">
        <f>G10*0.27778</f>
        <v>0</v>
      </c>
      <c r="I10" s="10">
        <f>H10/$V$23</f>
        <v>0</v>
      </c>
      <c r="J10" s="6"/>
      <c r="K10" s="6"/>
      <c r="M10" s="11">
        <f>$V$26*C10</f>
        <v>0</v>
      </c>
      <c r="N10" s="11">
        <f>$V$27*I10</f>
        <v>0</v>
      </c>
      <c r="O10" s="11">
        <f>M10-N10</f>
        <v>0</v>
      </c>
      <c r="P10" s="12"/>
      <c r="S10" s="5" t="s">
        <v>44</v>
      </c>
      <c r="T10" s="5" t="s">
        <v>45</v>
      </c>
    </row>
    <row r="11" ht="15.75" customHeight="1">
      <c r="A11" s="13" t="s">
        <v>28</v>
      </c>
      <c r="B11" s="7"/>
      <c r="C11" s="7"/>
      <c r="D11" s="14"/>
      <c r="E11" s="15"/>
      <c r="F11" s="15"/>
      <c r="G11" s="15"/>
      <c r="H11" s="15"/>
      <c r="I11" s="15"/>
      <c r="J11" s="7"/>
      <c r="K11" s="16">
        <v>107.0</v>
      </c>
      <c r="L11" s="7"/>
      <c r="M11" s="17"/>
      <c r="N11" s="17"/>
      <c r="O11" s="27">
        <v>0.0</v>
      </c>
      <c r="P11" s="18" t="str">
        <f>MIN(1,K11/(I10))</f>
        <v>#DIV/0!</v>
      </c>
      <c r="S11" s="5" t="s">
        <v>46</v>
      </c>
      <c r="T11" s="5" t="s">
        <v>47</v>
      </c>
    </row>
    <row r="12" ht="15.75" customHeight="1">
      <c r="A12" s="4" t="s">
        <v>48</v>
      </c>
      <c r="C12" s="8">
        <v>0.0</v>
      </c>
      <c r="D12" s="9">
        <f>C12*12.5/2.2</f>
        <v>0</v>
      </c>
      <c r="E12" s="10">
        <f>C12*4.2/2.2</f>
        <v>0</v>
      </c>
      <c r="F12" s="10">
        <f>E12*50.2*0.001</f>
        <v>0</v>
      </c>
      <c r="G12" s="10">
        <f>F12*0.8</f>
        <v>0</v>
      </c>
      <c r="H12" s="10">
        <f>G12*0.27778</f>
        <v>0</v>
      </c>
      <c r="I12" s="10">
        <f>H12/$V$23</f>
        <v>0</v>
      </c>
      <c r="J12" s="6"/>
      <c r="K12" s="6"/>
      <c r="M12" s="11">
        <f>$V$26*C12</f>
        <v>0</v>
      </c>
      <c r="N12" s="11">
        <f>$V$27*I12</f>
        <v>0</v>
      </c>
      <c r="O12" s="11">
        <f>M12-N12</f>
        <v>0</v>
      </c>
      <c r="P12" s="12"/>
    </row>
    <row r="13" ht="15.75" customHeight="1">
      <c r="A13" s="13" t="s">
        <v>28</v>
      </c>
      <c r="B13" s="7"/>
      <c r="C13" s="7"/>
      <c r="D13" s="14"/>
      <c r="E13" s="15"/>
      <c r="F13" s="15"/>
      <c r="G13" s="15"/>
      <c r="H13" s="15"/>
      <c r="I13" s="15"/>
      <c r="J13" s="7"/>
      <c r="K13" s="16">
        <v>31.0</v>
      </c>
      <c r="L13" s="7"/>
      <c r="M13" s="17"/>
      <c r="N13" s="17"/>
      <c r="O13" s="17">
        <f>MIN((K13*$V$28+M12-N12),(M12))</f>
        <v>0</v>
      </c>
      <c r="P13" s="18" t="str">
        <f>MIN(1,K13/(I12))</f>
        <v>#DIV/0!</v>
      </c>
      <c r="S13" s="5" t="s">
        <v>49</v>
      </c>
      <c r="T13" s="28" t="s">
        <v>50</v>
      </c>
      <c r="U13" s="29"/>
      <c r="V13" s="29"/>
    </row>
    <row r="14" ht="15.75" customHeight="1">
      <c r="A14" s="4" t="s">
        <v>51</v>
      </c>
      <c r="B14" s="5" t="s">
        <v>32</v>
      </c>
      <c r="C14" s="8">
        <v>5609.0</v>
      </c>
      <c r="D14" s="9">
        <f>C14*12.5/2.2</f>
        <v>31869.31818</v>
      </c>
      <c r="E14" s="10">
        <f>C14*4.2/2.2</f>
        <v>10708.09091</v>
      </c>
      <c r="F14" s="10">
        <f>E14*50.2*0.001</f>
        <v>537.5461636</v>
      </c>
      <c r="G14" s="10">
        <f>F14*0.8</f>
        <v>430.0369309</v>
      </c>
      <c r="H14" s="10">
        <f>G14*0.27778</f>
        <v>119.4556587</v>
      </c>
      <c r="I14" s="10">
        <f>H14/$V$23</f>
        <v>54.29802667</v>
      </c>
      <c r="J14" s="6"/>
      <c r="K14" s="6"/>
      <c r="M14" s="11">
        <f>$V$26*C14</f>
        <v>9423.12</v>
      </c>
      <c r="N14" s="11">
        <f>$V$27*I14</f>
        <v>5182.746645</v>
      </c>
      <c r="O14" s="11">
        <f>M14-N14</f>
        <v>4240.373355</v>
      </c>
      <c r="P14" s="12"/>
    </row>
    <row r="15" ht="15.75" customHeight="1">
      <c r="A15" s="13" t="s">
        <v>28</v>
      </c>
      <c r="B15" s="7"/>
      <c r="C15" s="7"/>
      <c r="D15" s="14"/>
      <c r="E15" s="15"/>
      <c r="F15" s="15"/>
      <c r="G15" s="15"/>
      <c r="H15" s="15"/>
      <c r="I15" s="15"/>
      <c r="J15" s="7"/>
      <c r="K15" s="16">
        <v>101.0</v>
      </c>
      <c r="L15" s="7"/>
      <c r="M15" s="17"/>
      <c r="N15" s="17"/>
      <c r="O15" s="17">
        <f>MIN((K15*$V$28+M14-N14),(M14))</f>
        <v>9423.12</v>
      </c>
      <c r="P15" s="18">
        <f>MIN(1,K15/(I14))</f>
        <v>1</v>
      </c>
      <c r="S15" s="5" t="s">
        <v>52</v>
      </c>
      <c r="T15" s="5" t="s">
        <v>53</v>
      </c>
    </row>
    <row r="16" ht="15.75" customHeight="1">
      <c r="A16" s="4" t="s">
        <v>54</v>
      </c>
      <c r="C16" s="8">
        <v>0.0</v>
      </c>
      <c r="D16" s="9">
        <f>C16*12.5/2.2</f>
        <v>0</v>
      </c>
      <c r="E16" s="10">
        <f>C16*4.2/2.2</f>
        <v>0</v>
      </c>
      <c r="F16" s="10">
        <f>E16*50.2*0.001</f>
        <v>0</v>
      </c>
      <c r="G16" s="10">
        <f>F16*0.8</f>
        <v>0</v>
      </c>
      <c r="H16" s="10">
        <f>G16*0.27778</f>
        <v>0</v>
      </c>
      <c r="I16" s="10">
        <f>H16/$V$23</f>
        <v>0</v>
      </c>
      <c r="J16" s="6"/>
      <c r="K16" s="6"/>
      <c r="M16" s="11">
        <f>$V$26*C16</f>
        <v>0</v>
      </c>
      <c r="N16" s="11">
        <f>$V$27*I16</f>
        <v>0</v>
      </c>
      <c r="O16" s="11">
        <f>M16-N16</f>
        <v>0</v>
      </c>
      <c r="P16" s="12"/>
      <c r="S16" s="5" t="s">
        <v>55</v>
      </c>
      <c r="T16" s="5" t="s">
        <v>56</v>
      </c>
    </row>
    <row r="17" ht="15.75" customHeight="1">
      <c r="A17" s="13" t="s">
        <v>28</v>
      </c>
      <c r="B17" s="7"/>
      <c r="C17" s="7"/>
      <c r="D17" s="14"/>
      <c r="E17" s="15"/>
      <c r="F17" s="15"/>
      <c r="G17" s="15"/>
      <c r="H17" s="15"/>
      <c r="I17" s="15"/>
      <c r="J17" s="7"/>
      <c r="K17" s="16">
        <v>27.0</v>
      </c>
      <c r="L17" s="7"/>
      <c r="M17" s="17"/>
      <c r="N17" s="17"/>
      <c r="O17" s="27">
        <v>0.0</v>
      </c>
      <c r="P17" s="18" t="str">
        <f>MIN(1,K17/(I16))</f>
        <v>#DIV/0!</v>
      </c>
      <c r="S17" s="5" t="s">
        <v>57</v>
      </c>
      <c r="T17" s="5" t="s">
        <v>58</v>
      </c>
    </row>
    <row r="18" ht="15.75" customHeight="1">
      <c r="A18" s="4" t="s">
        <v>59</v>
      </c>
      <c r="C18" s="8">
        <v>0.0</v>
      </c>
      <c r="D18" s="9">
        <f>C18*12.5/2.2</f>
        <v>0</v>
      </c>
      <c r="E18" s="10">
        <f>C18*4.2/2.2</f>
        <v>0</v>
      </c>
      <c r="F18" s="10">
        <f>E18*50.2*0.001</f>
        <v>0</v>
      </c>
      <c r="G18" s="10">
        <f>F18*0.8</f>
        <v>0</v>
      </c>
      <c r="H18" s="10">
        <f>G18*0.27778</f>
        <v>0</v>
      </c>
      <c r="I18" s="10">
        <f>H18/$V$23</f>
        <v>0</v>
      </c>
      <c r="J18" s="6"/>
      <c r="K18" s="6"/>
      <c r="M18" s="11">
        <f>$V$26*C18</f>
        <v>0</v>
      </c>
      <c r="N18" s="11">
        <f>$V$27*I18</f>
        <v>0</v>
      </c>
      <c r="O18" s="11">
        <f>M18-N18</f>
        <v>0</v>
      </c>
      <c r="P18" s="12"/>
    </row>
    <row r="19" ht="15.75" customHeight="1">
      <c r="A19" s="13" t="s">
        <v>28</v>
      </c>
      <c r="B19" s="7"/>
      <c r="C19" s="7"/>
      <c r="D19" s="14"/>
      <c r="E19" s="15"/>
      <c r="F19" s="15"/>
      <c r="G19" s="15"/>
      <c r="H19" s="15"/>
      <c r="I19" s="15"/>
      <c r="J19" s="7"/>
      <c r="K19" s="16">
        <v>70.0</v>
      </c>
      <c r="L19" s="7"/>
      <c r="M19" s="17"/>
      <c r="N19" s="17"/>
      <c r="O19" s="27">
        <v>0.0</v>
      </c>
      <c r="P19" s="18" t="str">
        <f>MIN(1,K19/(I18))</f>
        <v>#DIV/0!</v>
      </c>
      <c r="S19" s="5" t="s">
        <v>60</v>
      </c>
      <c r="T19" s="5" t="s">
        <v>61</v>
      </c>
    </row>
    <row r="20" ht="15.75" customHeight="1">
      <c r="A20" s="30" t="s">
        <v>62</v>
      </c>
      <c r="B20" s="5" t="s">
        <v>32</v>
      </c>
      <c r="C20" s="8">
        <v>10122.0</v>
      </c>
      <c r="D20" s="9">
        <f>C20*12.5/2.2</f>
        <v>57511.36364</v>
      </c>
      <c r="E20" s="10">
        <f>C20*4.2/2.2</f>
        <v>19323.81818</v>
      </c>
      <c r="F20" s="10">
        <f>E20*50.2*0.001</f>
        <v>970.0556727</v>
      </c>
      <c r="G20" s="10">
        <f>F20*0.83</f>
        <v>805.1462084</v>
      </c>
      <c r="H20" s="10">
        <f>G20*0.27778</f>
        <v>223.6535138</v>
      </c>
      <c r="I20" s="10">
        <f>H20/$V$23</f>
        <v>101.6606881</v>
      </c>
      <c r="J20" s="6"/>
      <c r="K20" s="6"/>
      <c r="M20" s="11">
        <f t="shared" ref="M20:M21" si="1">$V$26*C20</f>
        <v>17004.96</v>
      </c>
      <c r="N20" s="11">
        <f t="shared" ref="N20:N21" si="2">$V$27*I20</f>
        <v>9703.512677</v>
      </c>
      <c r="O20" s="11">
        <f t="shared" ref="O20:O21" si="3">M20-N20</f>
        <v>7301.447323</v>
      </c>
      <c r="P20" s="12"/>
    </row>
    <row r="21" ht="15.75" customHeight="1">
      <c r="A21" s="4" t="s">
        <v>63</v>
      </c>
      <c r="C21" s="28"/>
      <c r="D21" s="9"/>
      <c r="E21" s="10"/>
      <c r="F21" s="10"/>
      <c r="G21" s="10"/>
      <c r="H21" s="10"/>
      <c r="I21" s="10"/>
      <c r="J21" s="6"/>
      <c r="K21" s="6"/>
      <c r="M21" s="11">
        <f t="shared" si="1"/>
        <v>0</v>
      </c>
      <c r="N21" s="11">
        <f t="shared" si="2"/>
        <v>0</v>
      </c>
      <c r="O21" s="11">
        <f t="shared" si="3"/>
        <v>0</v>
      </c>
      <c r="P21" s="12"/>
      <c r="S21" s="31" t="s">
        <v>64</v>
      </c>
      <c r="T21" s="20"/>
      <c r="U21" s="21"/>
    </row>
    <row r="22" ht="15.75" customHeight="1">
      <c r="A22" s="13" t="s">
        <v>28</v>
      </c>
      <c r="B22" s="7"/>
      <c r="C22" s="7"/>
      <c r="D22" s="14"/>
      <c r="E22" s="15"/>
      <c r="F22" s="15"/>
      <c r="G22" s="15"/>
      <c r="H22" s="15"/>
      <c r="I22" s="15"/>
      <c r="J22" s="7"/>
      <c r="K22" s="16">
        <v>91.0</v>
      </c>
      <c r="L22" s="7"/>
      <c r="M22" s="17"/>
      <c r="N22" s="17"/>
      <c r="O22" s="17">
        <f>MIN((K22*$V$28+M20+M21-N20-N21),(M20+M21))</f>
        <v>15701.65732</v>
      </c>
      <c r="P22" s="18">
        <f>MIN(1,K22/(I20+I21))</f>
        <v>0.8951346064</v>
      </c>
      <c r="W22" s="22" t="s">
        <v>65</v>
      </c>
    </row>
    <row r="23" ht="15.75" customHeight="1">
      <c r="A23" s="4" t="s">
        <v>66</v>
      </c>
      <c r="B23" s="22" t="s">
        <v>38</v>
      </c>
      <c r="C23" s="8">
        <v>2863.0</v>
      </c>
      <c r="D23" s="9">
        <f>C23*12.5/2.2</f>
        <v>16267.04545</v>
      </c>
      <c r="E23" s="24"/>
      <c r="F23" s="24"/>
      <c r="G23" s="24"/>
      <c r="H23" s="24"/>
      <c r="I23" s="24"/>
      <c r="J23" s="6"/>
      <c r="K23" s="6"/>
      <c r="M23" s="25"/>
      <c r="N23" s="26"/>
      <c r="O23" s="11">
        <f>M23-N23</f>
        <v>0</v>
      </c>
      <c r="P23" s="12"/>
      <c r="S23" s="5" t="s">
        <v>67</v>
      </c>
      <c r="V23" s="28">
        <v>2.2</v>
      </c>
      <c r="W23" s="22" t="s">
        <v>68</v>
      </c>
    </row>
    <row r="24" ht="15.75" customHeight="1">
      <c r="A24" s="13" t="s">
        <v>28</v>
      </c>
      <c r="B24" s="7"/>
      <c r="C24" s="7"/>
      <c r="D24" s="14"/>
      <c r="E24" s="15"/>
      <c r="F24" s="15"/>
      <c r="G24" s="15"/>
      <c r="H24" s="15"/>
      <c r="I24" s="15"/>
      <c r="J24" s="7"/>
      <c r="K24" s="16">
        <v>79.0</v>
      </c>
      <c r="L24" s="7"/>
      <c r="M24" s="17"/>
      <c r="N24" s="17"/>
      <c r="O24" s="17">
        <f>MIN((K24*$V$28+M23-N23),(M23))</f>
        <v>7292.49</v>
      </c>
      <c r="P24" s="18" t="str">
        <f>MIN(1,K24/(I23))</f>
        <v>#DIV/0!</v>
      </c>
      <c r="S24" s="5" t="s">
        <v>69</v>
      </c>
      <c r="V24" s="32">
        <v>4.5</v>
      </c>
    </row>
    <row r="25" ht="15.75" customHeight="1">
      <c r="A25" s="4" t="s">
        <v>70</v>
      </c>
      <c r="B25" s="5" t="s">
        <v>71</v>
      </c>
      <c r="C25" s="8">
        <v>1058.0</v>
      </c>
      <c r="D25" s="9">
        <f t="shared" ref="D25:D26" si="4">C25*12.5/2.2</f>
        <v>6011.363636</v>
      </c>
      <c r="E25" s="10">
        <f>C25*4.2/2.2</f>
        <v>2019.818182</v>
      </c>
      <c r="F25" s="10">
        <f>E25*50.2*0.001</f>
        <v>101.3948727</v>
      </c>
      <c r="G25" s="10">
        <f>F25*0.8</f>
        <v>81.11589818</v>
      </c>
      <c r="H25" s="10">
        <f>G25*0.27778</f>
        <v>22.5323742</v>
      </c>
      <c r="I25" s="10">
        <f>H25/$V$24</f>
        <v>5.007194266</v>
      </c>
      <c r="J25" s="6"/>
      <c r="K25" s="6"/>
      <c r="M25" s="11">
        <f>$V$26*C25</f>
        <v>1777.44</v>
      </c>
      <c r="N25" s="11">
        <f>$V$27*I25</f>
        <v>477.9366927</v>
      </c>
      <c r="O25" s="11">
        <f>M25-N25</f>
        <v>1299.503307</v>
      </c>
      <c r="P25" s="12"/>
    </row>
    <row r="26" ht="15.75" customHeight="1">
      <c r="B26" s="5" t="s">
        <v>38</v>
      </c>
      <c r="C26" s="8">
        <v>2073.0</v>
      </c>
      <c r="D26" s="9">
        <f t="shared" si="4"/>
        <v>11778.40909</v>
      </c>
      <c r="E26" s="33"/>
      <c r="F26" s="33"/>
      <c r="G26" s="33"/>
      <c r="H26" s="33"/>
      <c r="I26" s="33"/>
      <c r="J26" s="6"/>
      <c r="K26" s="6"/>
      <c r="M26" s="34"/>
      <c r="N26" s="34"/>
      <c r="O26" s="11"/>
      <c r="P26" s="35"/>
      <c r="S26" s="5" t="s">
        <v>72</v>
      </c>
      <c r="V26" s="28">
        <v>1.68</v>
      </c>
    </row>
    <row r="27" ht="15.75" customHeight="1">
      <c r="A27" s="13" t="s">
        <v>28</v>
      </c>
      <c r="B27" s="7"/>
      <c r="C27" s="7"/>
      <c r="D27" s="14"/>
      <c r="E27" s="7"/>
      <c r="F27" s="7"/>
      <c r="G27" s="7"/>
      <c r="H27" s="7"/>
      <c r="I27" s="7"/>
      <c r="J27" s="7"/>
      <c r="K27" s="16">
        <v>147.0</v>
      </c>
      <c r="L27" s="7"/>
      <c r="M27" s="17"/>
      <c r="N27" s="17"/>
      <c r="O27" s="17">
        <f>MIN((K27*$V$28+M25-N25),(M25))</f>
        <v>1777.44</v>
      </c>
      <c r="P27" s="18">
        <f>MIN(1,K27/(I25))</f>
        <v>1</v>
      </c>
      <c r="S27" s="5" t="s">
        <v>73</v>
      </c>
      <c r="V27" s="28">
        <v>95.45</v>
      </c>
    </row>
    <row r="28" ht="15.75" customHeight="1">
      <c r="D28" s="9"/>
      <c r="O28" s="36"/>
      <c r="P28" s="37"/>
      <c r="S28" s="5" t="s">
        <v>74</v>
      </c>
      <c r="V28" s="28">
        <v>92.31</v>
      </c>
    </row>
    <row r="29" ht="15.75" customHeight="1">
      <c r="A29" s="5" t="s">
        <v>75</v>
      </c>
      <c r="C29" s="5">
        <f>SUM(C4:C26)</f>
        <v>24504</v>
      </c>
      <c r="D29" s="9"/>
      <c r="O29" s="36"/>
      <c r="P29" s="37"/>
    </row>
    <row r="30" ht="15.75" customHeight="1">
      <c r="A30" s="22" t="s">
        <v>76</v>
      </c>
      <c r="C30" s="8">
        <v>25784.3</v>
      </c>
      <c r="D30" s="9"/>
      <c r="O30" s="36"/>
      <c r="P30" s="37"/>
    </row>
    <row r="31" ht="15.75" customHeight="1">
      <c r="A31" s="22" t="s">
        <v>77</v>
      </c>
      <c r="C31" s="38">
        <v>24201.8</v>
      </c>
      <c r="O31" s="36"/>
    </row>
    <row r="32" ht="15.75" customHeight="1">
      <c r="A32" s="22" t="s">
        <v>78</v>
      </c>
      <c r="C32" s="38">
        <v>24852.5</v>
      </c>
      <c r="O32" s="36"/>
    </row>
    <row r="33" ht="15.75" customHeight="1">
      <c r="A33" s="22" t="s">
        <v>79</v>
      </c>
      <c r="C33" s="5">
        <f>AVERAGE(C30:C32)</f>
        <v>24946.2</v>
      </c>
      <c r="O33" s="36"/>
    </row>
    <row r="34" ht="15.75" customHeight="1">
      <c r="A34" s="22" t="s">
        <v>80</v>
      </c>
      <c r="C34" s="8">
        <v>25345.1</v>
      </c>
      <c r="O34" s="36"/>
    </row>
    <row r="35" ht="15.75" customHeight="1">
      <c r="A35" s="22" t="s">
        <v>81</v>
      </c>
      <c r="C35" s="38">
        <v>24040.5</v>
      </c>
      <c r="O35" s="36"/>
    </row>
    <row r="36" ht="15.75" customHeight="1">
      <c r="A36" s="22" t="s">
        <v>82</v>
      </c>
      <c r="C36" s="38">
        <v>24139.7</v>
      </c>
      <c r="O36" s="36"/>
    </row>
    <row r="37" ht="15.75" customHeight="1">
      <c r="A37" s="22" t="s">
        <v>83</v>
      </c>
      <c r="C37" s="5">
        <f>AVERAGE(C34:C36)</f>
        <v>24508.43333</v>
      </c>
    </row>
    <row r="38" ht="15.75" customHeight="1"/>
    <row r="39" ht="15.75" customHeight="1">
      <c r="A39" s="39" t="s">
        <v>84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4">
    <mergeCell ref="C1:I1"/>
    <mergeCell ref="M1:P1"/>
    <mergeCell ref="T5:AA5"/>
    <mergeCell ref="S21:U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2026-05-02T16:55:10Z</dcterms:created>
  <dc:creator>Daniel T. Schwartz</dc:creator>
</cp:coreProperties>
</file>