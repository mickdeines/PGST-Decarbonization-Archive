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ane Boiler BAU ReOPT" sheetId="1" r:id="rId4"/>
    <sheet state="visible" name="LT Heat Pumps" sheetId="2" r:id="rId5"/>
    <sheet state="visible" name="HT Heat Pumps" sheetId="3" r:id="rId6"/>
    <sheet state="visible" name="Electric Boiler" sheetId="4" r:id="rId7"/>
    <sheet state="visible" name="LT Heat Pumps with Battery" sheetId="5" r:id="rId8"/>
    <sheet state="visible" name="LT Heat Pumps Schedule 24" sheetId="6" r:id="rId9"/>
    <sheet state="visible" name="LTHP PV cost sensitivity analys" sheetId="7" r:id="rId10"/>
    <sheet state="visible" name="LTHP Escalation Rate sensitivit" sheetId="8" r:id="rId11"/>
    <sheet state="visible" name="HT Heat Pumps with Battery" sheetId="9" r:id="rId12"/>
    <sheet state="visible" name="Electric Boiler with Battery" sheetId="10" r:id="rId13"/>
    <sheet state="visible" name="Heating Scenario Results Summar" sheetId="11" r:id="rId14"/>
    <sheet state="visible" name="Battery Results Summary" sheetId="12" r:id="rId15"/>
    <sheet state="visible" name="Schedule 24 vs. Schedule 25 Res" sheetId="13" r:id="rId16"/>
  </sheets>
  <definedNames/>
  <calcPr/>
  <extLst>
    <ext uri="GoogleSheetsCustomDataVersion2">
      <go:sheetsCustomData xmlns:go="http://customooxmlschemas.google.com/" r:id="rId17" roundtripDataChecksum="PMUVTWQIwuXkYo3PDajFW5CL1/Da/xFFqKyV/RQulIY="/>
    </ext>
  </extLst>
</workbook>
</file>

<file path=xl/sharedStrings.xml><?xml version="1.0" encoding="utf-8"?>
<sst xmlns="http://schemas.openxmlformats.org/spreadsheetml/2006/main" count="4870" uniqueCount="469">
  <si>
    <t>Scenario</t>
  </si>
  <si>
    <t>Full cost         (25 year)</t>
  </si>
  <si>
    <t>NPV savings         (10 year)</t>
  </si>
  <si>
    <t>REopt Results:</t>
  </si>
  <si>
    <t>Select Technologies to Evaluate</t>
  </si>
  <si>
    <t>Evaluation name</t>
  </si>
  <si>
    <t>Site location (latitude, longitude)</t>
  </si>
  <si>
    <t>PV &amp; wind space available</t>
  </si>
  <si>
    <t>Roofspace available (sq ft)</t>
  </si>
  <si>
    <t>Electricity rate</t>
  </si>
  <si>
    <t>Compensation type</t>
  </si>
  <si>
    <t>Existing heating system fuel type</t>
  </si>
  <si>
    <t>Annual existing heating system fuel cost ($/gallon)</t>
  </si>
  <si>
    <t>Upload typical electric load profile</t>
  </si>
  <si>
    <t>Year of load profile</t>
  </si>
  <si>
    <t>Upload typical heating load profile</t>
  </si>
  <si>
    <t>Space heating load percent of total heating load (%)</t>
  </si>
  <si>
    <t>Existing heating system efficiency (% HHV-basis)</t>
  </si>
  <si>
    <t>Analysis period (years)</t>
  </si>
  <si>
    <t>Host discount rate, nominal (%)</t>
  </si>
  <si>
    <t>Electricity cost escalation rate, nominal (%/year)</t>
  </si>
  <si>
    <t>Existing heating system fuel cost escalation rate, nominal (%/year)</t>
  </si>
  <si>
    <t>Host effective tax rate (%)</t>
  </si>
  <si>
    <t>Emissions</t>
  </si>
  <si>
    <t>Size class</t>
  </si>
  <si>
    <t>System capital cost ($/kW-DC)</t>
  </si>
  <si>
    <t>Array type</t>
  </si>
  <si>
    <t>Array azimuth (deg)</t>
  </si>
  <si>
    <t>Array tilt (deg)</t>
  </si>
  <si>
    <t>Federal Incentive based on percentage of cost (%)</t>
  </si>
  <si>
    <t>MACRS schedule</t>
  </si>
  <si>
    <t>MACRS bonus depreciation</t>
  </si>
  <si>
    <t>Optimized PV size (kW)</t>
  </si>
  <si>
    <t>Optimized ASHP size (tonnes)</t>
  </si>
  <si>
    <t>Potential Life Cycle Savings</t>
  </si>
  <si>
    <t>Avg. Annual Grid Serving Load (kWh)</t>
  </si>
  <si>
    <t>Avg. Annual Grid Charging Battery (kWh)</t>
  </si>
  <si>
    <t>Avg. Annual Grid Total Electricity Consumed (kWh)</t>
  </si>
  <si>
    <t>Avg. Annual PV Serving Load (kWh)</t>
  </si>
  <si>
    <t>Avg. Annual PV Charging Battery (kWh)</t>
  </si>
  <si>
    <t>Avg. Annual PV Exported to Grid (kWh)</t>
  </si>
  <si>
    <t>Avg. Annual PV Curtailment (kWh)</t>
  </si>
  <si>
    <t>Avg. Annual PV Total Electricity Produced (kWh)</t>
  </si>
  <si>
    <t>Avg. Annual Battery Serving Load (kWh)</t>
  </si>
  <si>
    <t>BAU Average Annual Energy Supplied from Grid (kWh)</t>
  </si>
  <si>
    <t>System Average Annual Energy Supplied from Grid (kWh)</t>
  </si>
  <si>
    <t>Difference in Avg. Annual Energy Supplied from Grid</t>
  </si>
  <si>
    <t>w/PV Annual Renewable Electricity (% of electricity consumed)</t>
  </si>
  <si>
    <t>PV Avoided CO2e Emissions throughout Analysis Period</t>
  </si>
  <si>
    <t>BAU Total Year 1 Elec Cost - Pre-Tax</t>
  </si>
  <si>
    <t xml:space="preserve"> Total Year 1 Elec Cost - Pre-Tax</t>
  </si>
  <si>
    <t>Difference Total Year 1 Elec Cost</t>
  </si>
  <si>
    <t>BAU Total Full Period Elec Cost</t>
  </si>
  <si>
    <t>Optimized Total Full Period Elec Cost</t>
  </si>
  <si>
    <t>Difference in Full Period Utility Cost</t>
  </si>
  <si>
    <t>BAUTotal Life Cycle Costs</t>
  </si>
  <si>
    <t>Total Life Cycle Costs</t>
  </si>
  <si>
    <t xml:space="preserve"> Net Present Value</t>
  </si>
  <si>
    <t>Payback Period for PV /Battery (yrs)</t>
  </si>
  <si>
    <t>Broken controls propane boiler, full cost</t>
  </si>
  <si>
    <r>
      <rPr>
        <color rgb="FF1155CC"/>
        <u/>
      </rPr>
      <t>Broken controls propane boiler, full cost | REopt Web Tool | REopt Energy Integration &amp; Optimization | NLR</t>
    </r>
  </si>
  <si>
    <t>PV (but roofspace 0)</t>
  </si>
  <si>
    <t>47.85212, -122.56923</t>
  </si>
  <si>
    <t>Roofspace only</t>
  </si>
  <si>
    <t>PSE: 24 (General Service - Three Phase)</t>
  </si>
  <si>
    <t>No compensation for exports</t>
  </si>
  <si>
    <t>propane</t>
  </si>
  <si>
    <t>https://drive.google.com/file/d/1Xl5WOtWsJzfbC-Y8nCxkp4Y4Mozirc_L/view?usp=drive_link</t>
  </si>
  <si>
    <t>https://drive.google.com/file/d/12MjGV739OVxdOUym7sn516wQM4dv51MR/view?usp=drive_link</t>
  </si>
  <si>
    <t>-</t>
  </si>
  <si>
    <t>Small Commercial</t>
  </si>
  <si>
    <t>Rooftop, Fixed</t>
  </si>
  <si>
    <t>No MACRS</t>
  </si>
  <si>
    <r>
      <rPr>
        <color rgb="FF1155CC"/>
        <u/>
      </rPr>
      <t>Broken controls propane boiler, full cost | REopt Web Tool | REopt Energy Integration &amp; Optimization | NLR</t>
    </r>
  </si>
  <si>
    <t>Broken controls propane boiler, free capital</t>
  </si>
  <si>
    <r>
      <rPr>
        <color rgb="FF1155CC"/>
        <u/>
      </rPr>
      <t>Broken controls propane boiler, free capital | REopt Web Tool | REopt Energy Integration &amp; Optimization | NLR</t>
    </r>
  </si>
  <si>
    <r>
      <rPr>
        <color rgb="FF1155CC"/>
        <u/>
      </rPr>
      <t>Broken controls propane boiler, free capital | REopt Web Tool | REopt Energy Integration &amp; Optimization | NLR</t>
    </r>
  </si>
  <si>
    <t>Fixed controls propane boiler, full cost</t>
  </si>
  <si>
    <r>
      <rPr>
        <color rgb="FF1155CC"/>
        <u/>
      </rPr>
      <t>Fixed controls propane boiler, full cost | REopt Web Tool | REopt Energy Integration &amp; Optimization | NLR</t>
    </r>
  </si>
  <si>
    <r>
      <rPr>
        <color rgb="FF1155CC"/>
        <u/>
      </rPr>
      <t>Fixed controls propane boiler, full cost | REopt Web Tool | REopt Energy Integration &amp; Optimization | NLR</t>
    </r>
  </si>
  <si>
    <t>Fixed controls propane boiler, free capital</t>
  </si>
  <si>
    <r>
      <rPr>
        <color rgb="FF1155CC"/>
        <u/>
      </rPr>
      <t>Fixed controls propane boiler, free capital | REopt Web Tool | REopt Energy Integration &amp; Optimization | NLR</t>
    </r>
  </si>
  <si>
    <r>
      <rPr>
        <color rgb="FF1155CC"/>
        <u/>
      </rPr>
      <t>Fixed controls propane boiler, free capital | REopt Web Tool | REopt Energy Integration &amp; Optimization | NLR</t>
    </r>
  </si>
  <si>
    <t>Neither</t>
  </si>
  <si>
    <t>Net metering</t>
  </si>
  <si>
    <t>Net billing</t>
  </si>
  <si>
    <t>No PV</t>
  </si>
  <si>
    <t>CEC &amp; EC PV</t>
  </si>
  <si>
    <t>Air-Source Heat Pump configuration</t>
  </si>
  <si>
    <t>Net metering system size limit (kW)</t>
  </si>
  <si>
    <t>Net billing compensation for all exports ($/kWh)</t>
  </si>
  <si>
    <t>Energy capacity cost ($/kWh)</t>
  </si>
  <si>
    <t>Power capacity cost ($/kW)</t>
  </si>
  <si>
    <t>Constant cost ($)</t>
  </si>
  <si>
    <t>Minimum energy capacity (kWh)</t>
  </si>
  <si>
    <t>Maximum energy capacity (kWh)</t>
  </si>
  <si>
    <t>Energy capacity replacement cost ($/kWh)</t>
  </si>
  <si>
    <t>Power capacity replacement cost ($/kWh)</t>
  </si>
  <si>
    <t>Constant replacement cost ($)</t>
  </si>
  <si>
    <t>Minimum power capacity (kW)</t>
  </si>
  <si>
    <t>Maximum power capacity (kW)</t>
  </si>
  <si>
    <t>Total installed cost ($/ton)</t>
  </si>
  <si>
    <t>Upload COP Table</t>
  </si>
  <si>
    <t>Heat pump capacity sizing factor</t>
  </si>
  <si>
    <t>Resistive heating back-up temperature threshold (°F)</t>
  </si>
  <si>
    <t>Optimized Battery Power and Capacity (kW/kWh)</t>
  </si>
  <si>
    <t xml:space="preserve"> System Average Annual Energy Supplied from Grid (kWh)</t>
  </si>
  <si>
    <t>Annual Renewable Electricity (% of electricity consumed)</t>
  </si>
  <si>
    <t>PV Total Full Period Elec Cost</t>
  </si>
  <si>
    <t>BAU Total Life Cycle Costs</t>
  </si>
  <si>
    <t>PV/Battery Total Life Cycle Costs</t>
  </si>
  <si>
    <t>Difference in Total life cycle costs</t>
  </si>
  <si>
    <t>w/PV/ Battery Net Present Value</t>
  </si>
  <si>
    <t>LT Heat Pumps, no PV, full cost</t>
  </si>
  <si>
    <t>ASHP</t>
  </si>
  <si>
    <t>2: Full replacement heating</t>
  </si>
  <si>
    <t>PSE: 25</t>
  </si>
  <si>
    <t>N/A</t>
  </si>
  <si>
    <t>https://drive.google.com/file/d/1jrpu40DzxTFYY6LiD8LJLWmYTYBMVds2/view?usp=drive_link</t>
  </si>
  <si>
    <t>LT Heat Pumps, no PV, free capital</t>
  </si>
  <si>
    <t>LT Heat Pumps, net metering, full cost</t>
  </si>
  <si>
    <t>ASHP, PV</t>
  </si>
  <si>
    <t>LT Heat Pumps, net metering, free capital</t>
  </si>
  <si>
    <t>LT Heat Pumps, net billing, full cost</t>
  </si>
  <si>
    <t>LT Heat Pumps, net billing, free capital</t>
  </si>
  <si>
    <t>Peak demand: 51.0 kW</t>
  </si>
  <si>
    <t>LTHP Sims done 5.18.26 (Marion)</t>
  </si>
  <si>
    <t>Added Life Cycle Cost</t>
  </si>
  <si>
    <t>Year 1 Added Elec Cost</t>
  </si>
  <si>
    <t>Annual %</t>
  </si>
  <si>
    <t>No PV, 
Full cost</t>
  </si>
  <si>
    <t>No PV, 
NPV</t>
  </si>
  <si>
    <t>Net metering, 
Full cost</t>
  </si>
  <si>
    <t>Net metering, 
NPV</t>
  </si>
  <si>
    <t>Net billing, 
Full cost</t>
  </si>
  <si>
    <t>Net billing, 
NPV</t>
  </si>
  <si>
    <t>Life Cycle Cost</t>
  </si>
  <si>
    <t>Propane: Fixed Controls</t>
  </si>
  <si>
    <t>Fixed Controls</t>
  </si>
  <si>
    <t>HT Heat Pumps, no PV, full cost</t>
  </si>
  <si>
    <r>
      <rPr>
        <color rgb="FF1155CC"/>
        <u/>
      </rPr>
      <t>HT Heat Pumps, no PV, full cost | REopt Web Tool | REopt Energy Integration &amp; Optimization | NLR</t>
    </r>
  </si>
  <si>
    <t>https://drive.google.com/file/d/16UAUdtQOC8qioWbnM096MsZ4fLvZ1Viy/view?usp=drive_link</t>
  </si>
  <si>
    <r>
      <rPr>
        <color rgb="FF1155CC"/>
        <u/>
      </rPr>
      <t>HT Heat Pumps, no PV, full cost | REopt Web Tool | REopt Energy Integration &amp; Optimization | NLR</t>
    </r>
  </si>
  <si>
    <t>HT Heat Pumps, no PV, free capital</t>
  </si>
  <si>
    <r>
      <rPr>
        <color rgb="FF1155CC"/>
        <u/>
      </rPr>
      <t>HT Heat Pumps, no PV, free capital | REopt Web Tool | REopt Energy Integration &amp; Optimization | NLR</t>
    </r>
  </si>
  <si>
    <r>
      <rPr>
        <color rgb="FF1155CC"/>
        <u/>
      </rPr>
      <t>HT Heat Pumps, no PV, free capital | REopt Web Tool | REopt Energy Integration &amp; Optimization | NLR</t>
    </r>
  </si>
  <si>
    <t>HT Heat Pumps, net metering, full cost</t>
  </si>
  <si>
    <r>
      <rPr>
        <color rgb="FF1155CC"/>
        <u/>
      </rPr>
      <t>HT Heat Pumps, net metering, Full cost | REopt Web Tool | REopt Energy Integration &amp; Optimization | NLR</t>
    </r>
  </si>
  <si>
    <r>
      <rPr>
        <color rgb="FF1155CC"/>
        <u/>
      </rPr>
      <t>HT Heat Pumps, net metering, Full cost | REopt Web Tool | REopt Energy Integration &amp; Optimization | NLR</t>
    </r>
  </si>
  <si>
    <t>HT Heat Pumps, net metering, free capital</t>
  </si>
  <si>
    <r>
      <rPr>
        <color rgb="FF1155CC"/>
        <u/>
      </rPr>
      <t>HT Heat Pumps, net metering, free capital | REopt Web Tool | REopt Energy Integration &amp; Optimization | NLR</t>
    </r>
  </si>
  <si>
    <r>
      <rPr>
        <color rgb="FF1155CC"/>
        <u/>
      </rPr>
      <t>HT Heat Pumps, net metering, free capital | REopt Web Tool | REopt Energy Integration &amp; Optimization | NLR</t>
    </r>
  </si>
  <si>
    <t>HT Heat Pumps, net billing, full cost</t>
  </si>
  <si>
    <r>
      <rPr>
        <color rgb="FF1155CC"/>
        <u/>
      </rPr>
      <t>HT Heat Pumps, net billing, full cost | REopt Web Tool | REopt Energy Integration &amp; Optimization | NLR</t>
    </r>
  </si>
  <si>
    <r>
      <rPr>
        <color rgb="FF1155CC"/>
        <u/>
      </rPr>
      <t>HT Heat Pumps, net billing, full cost | REopt Web Tool | REopt Energy Integration &amp; Optimization | NLR</t>
    </r>
  </si>
  <si>
    <t>HT Heat Pumps, net billing, free capital</t>
  </si>
  <si>
    <r>
      <rPr>
        <color rgb="FF1155CC"/>
        <u/>
      </rPr>
      <t>HT Heat Pumps, net billing, free capital | REopt Web Tool | REopt Energy Integration &amp; Optimization | NLR</t>
    </r>
  </si>
  <si>
    <r>
      <rPr>
        <color rgb="FF1155CC"/>
        <u/>
      </rPr>
      <t>HT Heat Pumps, net billing, free capital | REopt Web Tool | REopt Energy Integration &amp; Optimization | NLR</t>
    </r>
  </si>
  <si>
    <t>Peak demand: 66.9 kW</t>
  </si>
  <si>
    <t>New System Average Annual Energy Supplied from Grid (kWh)</t>
  </si>
  <si>
    <t>Avoided CO2e Emissions throughout Analysis Period</t>
  </si>
  <si>
    <t>New Total Year 1 Elec Cost - Pre-Tax</t>
  </si>
  <si>
    <t>New Total Full Period Elec Cost</t>
  </si>
  <si>
    <t>New Total Life Cycle Costs</t>
  </si>
  <si>
    <t>New System Net Present Value</t>
  </si>
  <si>
    <t>Payback Period for PV/ASHP (yrs)</t>
  </si>
  <si>
    <t>Electric Boiler, no PV, full cost</t>
  </si>
  <si>
    <t xml:space="preserve">Electric Boiler, no PV, full cost | REopt Web Tool | REopt Energy </t>
  </si>
  <si>
    <t>https://drive.google.com/file/d/1ierMR5pp-9e4Oh1RndrdR-TIpi-DdJ91/view?usp=drive_link</t>
  </si>
  <si>
    <t>Electric Boiler, no PV, free capital</t>
  </si>
  <si>
    <t xml:space="preserve">Electric Boiler, no PV, free capital | REopt Web Tool | REopt Energy </t>
  </si>
  <si>
    <t>Electric Boiler, net metering, full cost</t>
  </si>
  <si>
    <t xml:space="preserve">Electric Boiler, net metering, full cost | REopt Web Tool | REopt Energy </t>
  </si>
  <si>
    <t>Electric Boiler, net metering, free capital</t>
  </si>
  <si>
    <t>Electric Boiler, net metering, free capital | REopt Web Tool | REopt Energy Integration &amp; Optimization | NLR</t>
  </si>
  <si>
    <t>Electric Boiler, net billing, full cost</t>
  </si>
  <si>
    <t>Electric Boiler, net billing, full cost | REopt Web Tool | REopt Energy Integration &amp; Optimization | NLR</t>
  </si>
  <si>
    <t>Electric Boiler, net billing, free capital</t>
  </si>
  <si>
    <r>
      <rPr>
        <color rgb="FF1155CC"/>
        <u/>
      </rPr>
      <t>Electric Boiler, net billing, free capital | REopt Web Tool | REopt Energy Integration &amp; Optimization | NLR</t>
    </r>
  </si>
  <si>
    <r>
      <rPr>
        <color rgb="FF1155CC"/>
        <u/>
      </rPr>
      <t>Electric Boiler, net billing, free capital | REopt Web Tool | REopt Energy Integration &amp; Optimization | NLR</t>
    </r>
  </si>
  <si>
    <t>Peak demand: 100.5 kW</t>
  </si>
  <si>
    <t>Full Life Cycle Cost</t>
  </si>
  <si>
    <t>1-hour Battery</t>
  </si>
  <si>
    <t>2-hour Battery</t>
  </si>
  <si>
    <t>4-hour Battery</t>
  </si>
  <si>
    <t>BAU Annual Renewable Electricity (% of electricity consumed)</t>
  </si>
  <si>
    <t>LT Heat Pumps, net metering, 1 hour battery, full cost</t>
  </si>
  <si>
    <r>
      <rPr>
        <color rgb="FF1155CC"/>
        <u/>
      </rPr>
      <t>LT Heat Pumps, net metering, 1 hour battery, full cost | REopt Web Tool | REopt Energy Integration &amp; Optimization | NLR</t>
    </r>
  </si>
  <si>
    <t>ASHP, Battery, PV</t>
  </si>
  <si>
    <r>
      <rPr>
        <color rgb="FF1155CC"/>
        <u/>
      </rPr>
      <t>LT Heat Pumps, net metering, 1 hour battery, full cost | REopt Web Tool | REopt Energy Integration &amp; Optimization | NLR</t>
    </r>
  </si>
  <si>
    <t>LT Heat Pumps, net metering, 1 hour battery, free capital</t>
  </si>
  <si>
    <r>
      <rPr>
        <color rgb="FF1155CC"/>
        <u/>
      </rPr>
      <t>LT Heat Pumps, net metering, 1 hour battery, free capital | REopt Web Tool | REopt Energy Integration &amp; Optimization | NLR</t>
    </r>
  </si>
  <si>
    <r>
      <rPr>
        <color rgb="FF1155CC"/>
        <u/>
      </rPr>
      <t>LT Heat Pumps, net metering, 1 hour battery, free capital | REopt Web Tool | REopt Energy Integration &amp; Optimization | NLR</t>
    </r>
  </si>
  <si>
    <t>LT Heat Pumps, net billing, 1 hour battery, full cost</t>
  </si>
  <si>
    <r>
      <rPr>
        <color rgb="FF1155CC"/>
        <u/>
      </rPr>
      <t>LT Heat Pumps, net billing, 1 hour battery, full cost | REopt Web Tool | REopt Energy Integration &amp; Optimization | NLR</t>
    </r>
  </si>
  <si>
    <r>
      <rPr>
        <color rgb="FF1155CC"/>
        <u/>
      </rPr>
      <t>LT Heat Pumps, net billing, 1 hour battery, full cost | REopt Web Tool | REopt Energy Integration &amp; Optimization | NLR</t>
    </r>
  </si>
  <si>
    <t>LT Heat Pumps, net billing, 1 hour battery, free capital</t>
  </si>
  <si>
    <r>
      <rPr>
        <color rgb="FF1155CC"/>
        <u/>
      </rPr>
      <t>LT Heat Pumps, net billing, 1 hour battery, free capital | REopt Web Tool | REopt Energy Integration &amp; Optimization | NLR</t>
    </r>
  </si>
  <si>
    <r>
      <rPr>
        <color rgb="FF1155CC"/>
        <u/>
      </rPr>
      <t>LT Heat Pumps, net billing, 1 hour battery, free capital | REopt Web Tool | REopt Energy Integration &amp; Optimization | NLR</t>
    </r>
  </si>
  <si>
    <t>LT Heat Pumps, net metering, 2 hour battery, full cost</t>
  </si>
  <si>
    <r>
      <rPr>
        <color rgb="FF1155CC"/>
        <u/>
      </rPr>
      <t>LT Heat Pumps, net metering, 2 hour battery, full cost | REopt Web Tool | REopt Energy Integration &amp; Optimization | NLR</t>
    </r>
  </si>
  <si>
    <r>
      <rPr>
        <color rgb="FF1155CC"/>
        <u/>
      </rPr>
      <t>LT Heat Pumps, net metering, 2 hour battery, full cost | REopt Web Tool | REopt Energy Integration &amp; Optimization | NLR</t>
    </r>
  </si>
  <si>
    <t>LT Heat Pumps, net metering, 2 hour battery, free capital</t>
  </si>
  <si>
    <r>
      <rPr>
        <color rgb="FF1155CC"/>
        <u/>
      </rPr>
      <t>LT Heat Pumps, net metering, 2 hour battery, free capital | REopt Web Tool | REopt Energy Integration &amp; Optimization | NLR</t>
    </r>
  </si>
  <si>
    <r>
      <rPr>
        <color rgb="FF1155CC"/>
        <u/>
      </rPr>
      <t>LT Heat Pumps, net metering, 2 hour battery, free capital | REopt Web Tool | REopt Energy Integration &amp; Optimization | NLR</t>
    </r>
  </si>
  <si>
    <t>LT Heat Pumps, net billing, 2 hour battery, full cost</t>
  </si>
  <si>
    <r>
      <rPr>
        <color rgb="FF1155CC"/>
        <u/>
      </rPr>
      <t>LT Heat Pumps, net billing, 2 hour battery, full cost | REopt Web Tool | REopt Energy Integration &amp; Optimization | NLR</t>
    </r>
  </si>
  <si>
    <r>
      <rPr>
        <color rgb="FF1155CC"/>
        <u/>
      </rPr>
      <t>LT Heat Pumps, net billing, 2 hour battery, full cost | REopt Web Tool | REopt Energy Integration &amp; Optimization | NLR</t>
    </r>
  </si>
  <si>
    <t>LT Heat Pumps, net billing, 2 hour battery, free capital</t>
  </si>
  <si>
    <r>
      <rPr>
        <color rgb="FF1155CC"/>
        <u/>
      </rPr>
      <t>LT Heat Pumps, net billing, 2 hour battery, free capital | REopt Web Tool | REopt Energy Integration &amp; Optimization | NLR</t>
    </r>
  </si>
  <si>
    <r>
      <rPr>
        <color rgb="FF1155CC"/>
        <u/>
      </rPr>
      <t>LT Heat Pumps, net billing, 2 hour battery, free capital | REopt Web Tool | REopt Energy Integration &amp; Optimization | NLR</t>
    </r>
  </si>
  <si>
    <t>LT Heat Pumps, net metering, 4 hour battery, full cost</t>
  </si>
  <si>
    <r>
      <rPr>
        <color rgb="FF1155CC"/>
        <u/>
      </rPr>
      <t>LT Heat Pumps, net metering, 4 hour battery, full cost | REopt Web Tool | REopt Energy Integration &amp; Optimization | NLR</t>
    </r>
  </si>
  <si>
    <t>LT Heat Pumps, net metering, 4 hour battery, full cost | REopt Web Tool | REopt Energy Integration &amp; Optimization | NLR</t>
  </si>
  <si>
    <t>LT Heat Pumps, net metering, 4 hour battery, free capital</t>
  </si>
  <si>
    <r>
      <rPr>
        <color rgb="FF1155CC"/>
        <u/>
      </rPr>
      <t>LT Heat Pumps, net metering, 4 hour battery, free capital | REopt Web Tool | REopt Energy Integration &amp; Optimization | NLR</t>
    </r>
  </si>
  <si>
    <r>
      <rPr>
        <color rgb="FF1155CC"/>
        <u/>
      </rPr>
      <t>LT Heat Pumps, net metering, 4 hour battery, free capital | REopt Web Tool | REopt Energy Integration &amp; Optimization | NLR</t>
    </r>
  </si>
  <si>
    <t>LT Heat Pumps, net billing, 4 hour battery, full cost</t>
  </si>
  <si>
    <r>
      <rPr>
        <color rgb="FF1155CC"/>
        <u/>
      </rPr>
      <t>LT Heat Pumps, net billing, 4 hour battery, full cost | REopt Web Tool | REopt Energy Integration &amp; Optimization | NLR</t>
    </r>
  </si>
  <si>
    <r>
      <rPr>
        <color rgb="FF1155CC"/>
        <u/>
      </rPr>
      <t>LT Heat Pumps, net billing, 4 hour battery, full cost | REopt Web Tool | REopt Energy Integration &amp; Optimization | NLR</t>
    </r>
  </si>
  <si>
    <t>LT Heat Pumps, net billing, 4 hour battery, free capital</t>
  </si>
  <si>
    <r>
      <rPr>
        <color rgb="FF1155CC"/>
        <u/>
      </rPr>
      <t>LT Heat Pumps, net billing, 4 hour battery, free capital | REopt Web Tool | REopt Energy Integration &amp; Optimization | NLR</t>
    </r>
  </si>
  <si>
    <r>
      <rPr>
        <color rgb="FF1155CC"/>
        <u/>
      </rPr>
      <t>LT Heat Pumps, net billing, 4 hour battery, free capital | REopt Web Tool | REopt Energy Integration &amp; Optimization | NLR</t>
    </r>
  </si>
  <si>
    <t>Non-PV Average Annual Energy Supplied from Grid (kWh)</t>
  </si>
  <si>
    <t>PV System Average Annual Energy Supplied from Grid (kWh)</t>
  </si>
  <si>
    <t>Non-PV Total Year 1 Elec Cost - Pre-Tax</t>
  </si>
  <si>
    <t>PV Total Year 1 Elec Cost - Pre-Tax</t>
  </si>
  <si>
    <t>Non-PV Total Life Cycle Costs</t>
  </si>
  <si>
    <t>SCHEDULE 24: LT Heat Pumps, no PV, full cost</t>
  </si>
  <si>
    <r>
      <rPr>
        <color rgb="FF1155CC"/>
        <u/>
      </rPr>
      <t>Schedule 24: LT Heat Pumps, no PV, full cost | REopt Web Tool | REopt Energy Integration &amp; Optimization | NLR</t>
    </r>
  </si>
  <si>
    <r>
      <rPr>
        <color rgb="FF1155CC"/>
        <u/>
      </rPr>
      <t>Schedule 24: LT Heat Pumps, no PV, full cost | REopt Web Tool | REopt Energy Integration &amp; Optimization | NLR</t>
    </r>
  </si>
  <si>
    <t>SCHEDULE 24: LT Heat Pumps, no PV, free capital</t>
  </si>
  <si>
    <r>
      <rPr>
        <color rgb="FF1155CC"/>
        <u/>
      </rPr>
      <t>Schedule 24: LT Heat Pumps, no PV, free capital | REopt Web Tool | REopt Energy Integration &amp; Optimization | NLR</t>
    </r>
  </si>
  <si>
    <r>
      <rPr>
        <rFont val="Arial"/>
        <color rgb="FF1155CC"/>
        <sz val="11.0"/>
        <u/>
      </rPr>
      <t>LT Heat Pumps, net billing, no battery, no PV, 10 yr NPV | REopt Web Tool | REopt Energy Integration &amp; Optimization | NLR</t>
    </r>
  </si>
  <si>
    <t>SCHEDULE 24: LT Heat Pumps, net metering, full cost</t>
  </si>
  <si>
    <r>
      <rPr>
        <rFont val="Arial"/>
        <color rgb="FF1155CC"/>
        <sz val="11.0"/>
        <u/>
      </rPr>
      <t>LT Heat Pumps, net metering, full cost | REopt Web Tool | REopt Energy Integration &amp; Optimization | NLR</t>
    </r>
  </si>
  <si>
    <r>
      <rPr>
        <rFont val="Arial"/>
        <color rgb="FF1155CC"/>
        <sz val="11.0"/>
        <u/>
      </rPr>
      <t>LT Heat Pumps, net metering, full cost | REopt Web Tool | REopt Energy Integration &amp; Optimization | NLR</t>
    </r>
  </si>
  <si>
    <t>SCHEDULE 24: LT Heat Pumps, net metering, free capital</t>
  </si>
  <si>
    <r>
      <rPr>
        <color rgb="FF1155CC"/>
        <u/>
      </rPr>
      <t>SCHEDULE 24: LT Heat Pumps, net metering, free capital | REopt Web Tool | REopt Energy Integration &amp; Optimization | NLR</t>
    </r>
  </si>
  <si>
    <r>
      <rPr>
        <rFont val="Arial"/>
        <color rgb="FF1155CC"/>
        <sz val="11.0"/>
        <u/>
      </rPr>
      <t>LT Heat Pumps, net billing, no battery, PV CEC &amp; ED, 10 yr NPV | REopt Web Tool | REopt Energy Integration &amp; Optimization | NLR</t>
    </r>
  </si>
  <si>
    <t>SCHEDULE 24: LT Heat Pumps, net billing, full cost</t>
  </si>
  <si>
    <r>
      <rPr>
        <rFont val="Arial"/>
        <color rgb="FF1155CC"/>
        <sz val="11.0"/>
        <u/>
      </rPr>
      <t>LT Heat Pumps, net billing, full cost | REopt Web Tool | REopt Energy Integration &amp; Optimization | NLR</t>
    </r>
  </si>
  <si>
    <r>
      <rPr>
        <rFont val="Arial"/>
        <color rgb="FF1155CC"/>
        <sz val="11.0"/>
        <u/>
      </rPr>
      <t>LT Heat Pumps, net billing, full cost | REopt Web Tool | REopt Energy Integration &amp; Optimization | NLR</t>
    </r>
  </si>
  <si>
    <t>SCHEDULE 24: LT Heat Pumps, net billing, free capital</t>
  </si>
  <si>
    <r>
      <rPr>
        <color rgb="FF1155CC"/>
        <u/>
      </rPr>
      <t>SCHEDULE 24: LT Heat Pumps, net billing, free capital | REopt Web Tool | REopt Energy Integration &amp; Optimization | NLR</t>
    </r>
  </si>
  <si>
    <r>
      <rPr>
        <rFont val="Arial"/>
        <color rgb="FF1155CC"/>
        <sz val="11.0"/>
        <u/>
      </rPr>
      <t>LT Heat Pumps, net billing, no battery, PV CEC &amp; ED, 10 yr NPV | REopt Web Tool | REopt Energy Integration &amp; Optimization | NLR</t>
    </r>
  </si>
  <si>
    <t>PV cost:</t>
  </si>
  <si>
    <t>Non-PV Total Full Period Elec Cost</t>
  </si>
  <si>
    <r>
      <rPr>
        <color rgb="FF1155CC"/>
        <u/>
      </rPr>
      <t>$3,900 | REopt Web Tool | REopt Energy Integration &amp; Optimization | NLR</t>
    </r>
  </si>
  <si>
    <r>
      <rPr>
        <color rgb="FF1155CC"/>
        <u/>
      </rPr>
      <t>$3,900 | REopt Web Tool | REopt Energy Integration &amp; Optimization | NLR</t>
    </r>
  </si>
  <si>
    <r>
      <rPr>
        <color rgb="FF1155CC"/>
        <u/>
      </rPr>
      <t>$4,100 | REopt Web Tool | REopt Energy Integration &amp; Optimization | NLR</t>
    </r>
  </si>
  <si>
    <r>
      <rPr>
        <color rgb="FF1155CC"/>
        <u/>
      </rPr>
      <t>$4,100 | REopt Web Tool | REopt Energy Integration &amp; Optimization | NLR</t>
    </r>
  </si>
  <si>
    <r>
      <rPr>
        <color rgb="FF1155CC"/>
        <u/>
      </rPr>
      <t>$4,300 | REopt Web Tool | REopt Energy Integration &amp; Optimization | NLR</t>
    </r>
  </si>
  <si>
    <r>
      <rPr>
        <color rgb="FF1155CC"/>
        <u/>
      </rPr>
      <t>$4,300 | REopt Web Tool | REopt Energy Integration &amp; Optimization | NLR</t>
    </r>
  </si>
  <si>
    <r>
      <rPr>
        <color rgb="FF1155CC"/>
        <u/>
      </rPr>
      <t>$4,500 | REopt Web Tool | REopt Energy Integration &amp; Optimization | NLR</t>
    </r>
  </si>
  <si>
    <r>
      <rPr>
        <color rgb="FF1155CC"/>
        <u/>
      </rPr>
      <t>$4,500 | REopt Web Tool | REopt Energy Integration &amp; Optimization | NLR</t>
    </r>
  </si>
  <si>
    <r>
      <rPr>
        <color rgb="FF1155CC"/>
        <u/>
      </rPr>
      <t>$4,700 | REopt Web Tool | REopt Energy Integration &amp; Optimization | NLR</t>
    </r>
  </si>
  <si>
    <r>
      <rPr>
        <color rgb="FF1155CC"/>
        <u/>
      </rPr>
      <t>$4,700 | REopt Web Tool | REopt Energy Integration &amp; Optimization | NLR</t>
    </r>
  </si>
  <si>
    <r>
      <rPr>
        <color rgb="FF1155CC"/>
        <u/>
      </rPr>
      <t>$2,000 | REopt Web Tool | REopt Energy Integration &amp; Optimization | NLR</t>
    </r>
  </si>
  <si>
    <r>
      <rPr>
        <color rgb="FF1155CC"/>
        <u/>
      </rPr>
      <t>$2,000 | REopt Web Tool | REopt Energy Integration &amp; Optimization | NLR</t>
    </r>
  </si>
  <si>
    <r>
      <rPr>
        <color rgb="FF1155CC"/>
        <u/>
      </rPr>
      <t>$2,100 | REopt Web Tool | REopt Energy Integration &amp; Optimization | NLR</t>
    </r>
  </si>
  <si>
    <r>
      <rPr>
        <color rgb="FF1155CC"/>
        <u/>
      </rPr>
      <t>$2,100 | REopt Web Tool | REopt Energy Integration &amp; Optimization | NLR</t>
    </r>
  </si>
  <si>
    <r>
      <rPr>
        <color rgb="FF1155CC"/>
        <u/>
      </rPr>
      <t>$2,200 | REopt Web Tool | REopt Energy Integration &amp; Optimization | NLR</t>
    </r>
  </si>
  <si>
    <r>
      <rPr>
        <color rgb="FF1155CC"/>
        <u/>
      </rPr>
      <t>$2,200 | REopt Web Tool | REopt Energy Integration &amp; Optimization | NLR</t>
    </r>
  </si>
  <si>
    <r>
      <rPr>
        <color rgb="FF1155CC"/>
        <u/>
      </rPr>
      <t>$2,300 | REopt Web Tool | REopt Energy Integration &amp; Optimization | NLR</t>
    </r>
  </si>
  <si>
    <r>
      <rPr>
        <color rgb="FF1155CC"/>
        <u/>
      </rPr>
      <t>$2,300 | REopt Web Tool | REopt Energy Integration &amp; Optimization | NLR</t>
    </r>
  </si>
  <si>
    <r>
      <rPr>
        <color rgb="FF1155CC"/>
        <u/>
      </rPr>
      <t>$2,500 | REopt Web Tool | REopt Energy Integration &amp; Optimization | NLR</t>
    </r>
  </si>
  <si>
    <r>
      <rPr>
        <color rgb="FF1155CC"/>
        <u/>
      </rPr>
      <t>$2,500 | REopt Web Tool | REopt Energy Integration &amp; Optimization | NLR</t>
    </r>
  </si>
  <si>
    <r>
      <rPr>
        <color rgb="FF1155CC"/>
        <u/>
      </rPr>
      <t>$2,700 | REopt Web Tool | REopt Energy Integration &amp; Optimization | NLR</t>
    </r>
  </si>
  <si>
    <r>
      <rPr>
        <color rgb="FF1155CC"/>
        <u/>
      </rPr>
      <t>$2,700 | REopt Web Tool | REopt Energy Integration &amp; Optimization | NLR</t>
    </r>
  </si>
  <si>
    <r>
      <rPr>
        <color rgb="FF1155CC"/>
        <u/>
      </rPr>
      <t>$2,900 | REopt Web Tool | REopt Energy Integration &amp; Optimization | NLR</t>
    </r>
  </si>
  <si>
    <r>
      <rPr>
        <color rgb="FF1155CC"/>
        <u/>
      </rPr>
      <t>$2,900 | REopt Web Tool | REopt Energy Integration &amp; Optimization | NLR</t>
    </r>
  </si>
  <si>
    <r>
      <rPr>
        <color rgb="FF1155CC"/>
        <u/>
      </rPr>
      <t>$3,200 | REopt Web Tool | REopt Energy Integration &amp; Optimization | NLR</t>
    </r>
  </si>
  <si>
    <r>
      <rPr>
        <color rgb="FF1155CC"/>
        <u/>
      </rPr>
      <t>$3,200 | REopt Web Tool | REopt Energy Integration &amp; Optimization | NLR</t>
    </r>
  </si>
  <si>
    <r>
      <rPr>
        <color rgb="FF1155CC"/>
        <u/>
      </rPr>
      <t>$3,600 | REopt Web Tool | REopt Energy Integration &amp; Optimization | NLR</t>
    </r>
  </si>
  <si>
    <r>
      <rPr>
        <color rgb="FF1155CC"/>
        <u/>
      </rPr>
      <t>$3,600 | REopt Web Tool | REopt Energy Integration &amp; Optimization | NLR</t>
    </r>
  </si>
  <si>
    <r>
      <rPr>
        <color rgb="FF1155CC"/>
        <u/>
      </rPr>
      <t>$4,200 | REopt Web Tool | REopt Energy Integration &amp; Optimization | NLR</t>
    </r>
  </si>
  <si>
    <r>
      <rPr>
        <color rgb="FF1155CC"/>
        <u/>
      </rPr>
      <t>$4,200 | REopt Web Tool | REopt Energy Integration &amp; Optimization | NLR</t>
    </r>
  </si>
  <si>
    <r>
      <rPr>
        <color rgb="FF1155CC"/>
        <u/>
      </rPr>
      <t>$4,800 | REopt Web Tool | REopt Energy Integration &amp; Optimization | NLR</t>
    </r>
  </si>
  <si>
    <r>
      <rPr>
        <color rgb="FF1155CC"/>
        <u/>
      </rPr>
      <t>$4,800 | REopt Web Tool | REopt Energy Integration &amp; Optimization | NLR</t>
    </r>
  </si>
  <si>
    <t>LT Heat Pumps, no PV, full cost, 0% escalation</t>
  </si>
  <si>
    <t>LT Heat Pumps, no PV, net metering, full cost, 0% escalation</t>
  </si>
  <si>
    <t>LT Heat Pumps, no PV, full cost, 2% escalation</t>
  </si>
  <si>
    <t>LT Heat Pumps, no PV, full cost, 4% escalation</t>
  </si>
  <si>
    <t>LT Heat Pumps, no PV, full cost, 6% escalation</t>
  </si>
  <si>
    <t>LT Heat Pumps, no PV, full cost, 8% escalation</t>
  </si>
  <si>
    <t>LT Heat Pumps, no PV, full cost, 10% escalation</t>
  </si>
  <si>
    <t>LT Heat Pumps, net metering, full cost, 0% escalation</t>
  </si>
  <si>
    <t>LT Heat Pumps, net metering, full cost, 2% escalation</t>
  </si>
  <si>
    <t>LT Heat Pumps, net metering, full cost, 4% escalation</t>
  </si>
  <si>
    <t>LT Heat Pumps, net metering, full cost, 6% escalation</t>
  </si>
  <si>
    <t>LT Heat Pumps, net metering, full cost, 8% escalation</t>
  </si>
  <si>
    <t>LT Heat Pumps, net metering, full cost, 10% escalation</t>
  </si>
  <si>
    <t>LT Heat Pumps, net billing, full cost, 0% escalation</t>
  </si>
  <si>
    <t>LT Heat Pumps, net billing, full cost, 2% escalation</t>
  </si>
  <si>
    <t>LT Heat Pumps, net billing, full cost, 4% escalation</t>
  </si>
  <si>
    <t>LT Heat Pumps, net billing, full cost, 6% escalation</t>
  </si>
  <si>
    <t>LT Heat Pumps, net billing, full cost, 8% escalation</t>
  </si>
  <si>
    <t>LT Heat Pumps, net billing, full cost, 10% escalation</t>
  </si>
  <si>
    <t>If direct equation they clearly follow, you don't need to bother with running all - would also be useful to plot as a curve</t>
  </si>
  <si>
    <t>Life Cycle Savings</t>
  </si>
  <si>
    <t>Life Cycle Costs</t>
  </si>
  <si>
    <r>
      <rPr>
        <color rgb="FF1155CC"/>
        <u/>
      </rPr>
      <t>LT Heat Pumps, no PV, full cost, $1.50 propane rate | REopt Web Tool | REopt Energy Integration &amp; Optimization | NLR</t>
    </r>
  </si>
  <si>
    <t>LT Heat Pumps, no PV, full cost, $1.50 propane rate</t>
  </si>
  <si>
    <t>PSE: 24</t>
  </si>
  <si>
    <r>
      <rPr>
        <color rgb="FF1155CC"/>
        <u/>
      </rPr>
      <t>LT Heat Pumps, no PV, full cost, $1.75 propane rate | REopt Web Tool | REopt Energy Integration &amp; Optimization | NLR</t>
    </r>
  </si>
  <si>
    <t>LT Heat Pumps, no PV, full cost, $1.75 propane rate</t>
  </si>
  <si>
    <r>
      <rPr>
        <color rgb="FF1155CC"/>
        <u/>
      </rPr>
      <t>LT Heat Pumps, no PV, full cost, $2.00 propane rate | REopt Web Tool | REopt Energy Integration &amp; Optimization | NLR</t>
    </r>
  </si>
  <si>
    <t>LT Heat Pumps, no PV, full cost, $2.00 propane rate</t>
  </si>
  <si>
    <r>
      <rPr>
        <color rgb="FF1155CC"/>
        <u/>
      </rPr>
      <t>LT Heat Pumps, no PV, full cost, $2.25 propane rate | REopt Web Tool | REopt Energy Integration &amp; Optimization | NLR</t>
    </r>
  </si>
  <si>
    <t>LT Heat Pumps, no PV, full cost, $2.25 propane rate</t>
  </si>
  <si>
    <r>
      <rPr>
        <color rgb="FF1155CC"/>
        <u/>
      </rPr>
      <t>LT Heat Pumps, no PV, full cost, $2.50 propane rate | REopt Web Tool | REopt Energy Integration &amp; Optimization | NLR</t>
    </r>
  </si>
  <si>
    <t>LT Heat Pumps, no PV, full cost, $2.50 propane rate</t>
  </si>
  <si>
    <t>LT Heat Pumps, no PV, full cost, $2.75 propane rate</t>
  </si>
  <si>
    <t>LT Heat Pumps, net metering, full cost, $1.50 propane rate</t>
  </si>
  <si>
    <r>
      <rPr>
        <color rgb="FF1155CC"/>
        <u/>
      </rPr>
      <t>$3,900 | REopt Web Tool | REopt Energy Integration &amp; Optimization | NLR</t>
    </r>
  </si>
  <si>
    <t>LT Heat Pumps, net metering, full cost, $1.75 propane rate</t>
  </si>
  <si>
    <r>
      <rPr>
        <color rgb="FF1155CC"/>
        <u/>
      </rPr>
      <t>$4,100 | REopt Web Tool | REopt Energy Integration &amp; Optimization | NLR</t>
    </r>
  </si>
  <si>
    <t>LT Heat Pumps, net metering, full cost, $2.00 propane rate</t>
  </si>
  <si>
    <r>
      <rPr>
        <color rgb="FF1155CC"/>
        <u/>
      </rPr>
      <t>$4,300 | REopt Web Tool | REopt Energy Integration &amp; Optimization | NLR</t>
    </r>
  </si>
  <si>
    <t>LT Heat Pumps, net metering, full cost, $2.25 propane rate</t>
  </si>
  <si>
    <r>
      <rPr>
        <color rgb="FF1155CC"/>
        <u/>
      </rPr>
      <t>$4,500 | REopt Web Tool | REopt Energy Integration &amp; Optimization | NLR</t>
    </r>
  </si>
  <si>
    <t>LT Heat Pumps, net metering, full cost, $2.50 propane rate</t>
  </si>
  <si>
    <r>
      <rPr>
        <color rgb="FF1155CC"/>
        <u/>
      </rPr>
      <t>$4,700 | REopt Web Tool | REopt Energy Integration &amp; Optimization | NLR</t>
    </r>
  </si>
  <si>
    <t>LT Heat Pumps, net metering, full cost, $2.75 propane rate</t>
  </si>
  <si>
    <r>
      <rPr>
        <color rgb="FF1155CC"/>
        <u/>
      </rPr>
      <t>$4,700 | REopt Web Tool | REopt Energy Integration &amp; Optimization | NLR</t>
    </r>
  </si>
  <si>
    <t>LT Heat Pumps, net billing, full cost, $1.50 propane rate</t>
  </si>
  <si>
    <t>LT Heat Pumps, net billing, full cost, $1.75 propane rate</t>
  </si>
  <si>
    <t>LT Heat Pumps, net billing, full cost, $2.00 propane rate</t>
  </si>
  <si>
    <t>LT Heat Pumps, net billing, full cost, $2.25 propane rate</t>
  </si>
  <si>
    <t>LT Heat Pumps, net billing, full cost, $2.50 propane rate</t>
  </si>
  <si>
    <t>LT Heat Pumps, net billing, full cost, $2.75 propane rate</t>
  </si>
  <si>
    <t>BAU Life Cycle Costs</t>
  </si>
  <si>
    <t>All Scenarios</t>
  </si>
  <si>
    <t>HT Heat Pumps, net metering, 1 hour battery, full cost</t>
  </si>
  <si>
    <r>
      <rPr>
        <color rgb="FF1155CC"/>
        <u/>
      </rPr>
      <t>HT Heat Pumps, net metering, 1 hour battery, full cost | REopt Web Tool | REopt Energy Integration &amp; Optimization | NLR</t>
    </r>
  </si>
  <si>
    <r>
      <rPr>
        <color rgb="FF1155CC"/>
        <u/>
      </rPr>
      <t>HT Heat Pumps, net metering, 1 hour battery, full cost | REopt Web Tool | REopt Energy Integration &amp; Optimization | NLR</t>
    </r>
  </si>
  <si>
    <t>HT Heat Pumps, net metering, 1 hour battery, free capital</t>
  </si>
  <si>
    <r>
      <rPr>
        <color rgb="FF1155CC"/>
        <u/>
      </rPr>
      <t>HT Heat Pumps, net metering, 1 hour battery, free capital | REopt Web Tool | REopt Energy Integration &amp; Optimization | NLR</t>
    </r>
  </si>
  <si>
    <r>
      <rPr>
        <color rgb="FF1155CC"/>
        <u/>
      </rPr>
      <t>HT Heat Pumps, net metering, 1 hour battery, free capital | REopt Web Tool | REopt Energy Integration &amp; Optimization | NLR</t>
    </r>
  </si>
  <si>
    <t>HT Heat Pumps, net billing, 1 hour battery, full cost</t>
  </si>
  <si>
    <r>
      <rPr>
        <color rgb="FF1155CC"/>
        <u/>
      </rPr>
      <t>HT Heat Pumps, net billing, 1 hour battery, full cost | REopt Web Tool | REopt Energy Integration &amp; Optimization | NLR</t>
    </r>
  </si>
  <si>
    <r>
      <rPr>
        <color rgb="FF1155CC"/>
        <u/>
      </rPr>
      <t>HT Heat Pumps, net billing, 1 hour battery, full cost | REopt Web Tool | REopt Energy Integration &amp; Optimization | NLR</t>
    </r>
  </si>
  <si>
    <t>HT Heat Pumps, net billing, 1 hour battery, free capital</t>
  </si>
  <si>
    <r>
      <rPr>
        <color rgb="FF1155CC"/>
        <u/>
      </rPr>
      <t>HT Heat Pumps, net billing, 1 hour battery, free capital | REopt Web Tool | REopt Energy Integration &amp; Optimization | NLR</t>
    </r>
  </si>
  <si>
    <r>
      <rPr>
        <color rgb="FF1155CC"/>
        <u/>
      </rPr>
      <t>HT Heat Pumps, net billing, 1 hour battery, free capital | REopt Web Tool | REopt Energy Integration &amp; Optimization | NLR</t>
    </r>
  </si>
  <si>
    <t>HT Heat Pumps, net metering, 2 hour battery, full cost</t>
  </si>
  <si>
    <r>
      <rPr>
        <color rgb="FF1155CC"/>
        <u/>
      </rPr>
      <t>HT Heat Pumps, net metering, 2 hour battery, full cost | REopt Web Tool | REopt Energy Integration &amp; Optimization | NLR</t>
    </r>
  </si>
  <si>
    <r>
      <rPr>
        <color rgb="FF1155CC"/>
        <u/>
      </rPr>
      <t>HT Heat Pumps, net metering, 2 hour battery, full cost | REopt Web Tool | REopt Energy Integration &amp; Optimization | NLR</t>
    </r>
  </si>
  <si>
    <t>HT Heat Pumps, net metering, 2 hour battery, free capital</t>
  </si>
  <si>
    <r>
      <rPr>
        <color rgb="FF1155CC"/>
        <u/>
      </rPr>
      <t>HT Heat Pumps, net metering, 2 hour battery, free capital | REopt Web Tool | REopt Energy Integration &amp; Optimization | NLR</t>
    </r>
  </si>
  <si>
    <r>
      <rPr>
        <color rgb="FF1155CC"/>
        <u/>
      </rPr>
      <t>HT Heat Pumps, net metering, 2 hour battery, free capital | REopt Web Tool | REopt Energy Integration &amp; Optimization | NLR</t>
    </r>
  </si>
  <si>
    <t>HT Heat Pumps, net billing, 2 hour battery, full cost</t>
  </si>
  <si>
    <r>
      <rPr>
        <color rgb="FF1155CC"/>
        <u/>
      </rPr>
      <t>HT Heat Pumps, net billing, 2 hour battery, full cost | REopt Web Tool | REopt Energy Integration &amp; Optimization | NLR</t>
    </r>
  </si>
  <si>
    <r>
      <rPr>
        <color rgb="FF1155CC"/>
        <u/>
      </rPr>
      <t>HT Heat Pumps, net billing, 2 hour battery, full cost | REopt Web Tool | REopt Energy Integration &amp; Optimization | NLR</t>
    </r>
  </si>
  <si>
    <t>HT Heat Pumps, net billing, 2 hour battery, free capital</t>
  </si>
  <si>
    <r>
      <rPr>
        <color rgb="FF1155CC"/>
        <u/>
      </rPr>
      <t>HT Heat Pumps, net billing, 2 hour battery, free capital | REopt Web Tool | REopt Energy Integration &amp; Optimization | NLR</t>
    </r>
  </si>
  <si>
    <r>
      <rPr>
        <color rgb="FF1155CC"/>
        <u/>
      </rPr>
      <t>HT Heat Pumps, net billing, 2 hour battery, free capital | REopt Web Tool | REopt Energy Integration &amp; Optimization | NLR</t>
    </r>
  </si>
  <si>
    <t>HT Heat Pumps, net metering, 4 hour battery, full cost</t>
  </si>
  <si>
    <r>
      <rPr>
        <color rgb="FF1155CC"/>
        <u/>
      </rPr>
      <t>HT Heat Pumps, net metering, 4 hour battery, full cost | REopt Web Tool | REopt Energy Integration &amp; Optimization | NLR</t>
    </r>
  </si>
  <si>
    <r>
      <rPr>
        <color rgb="FF1155CC"/>
        <u/>
      </rPr>
      <t>HT Heat Pumps, net metering, 4 hour battery, full cost | REopt Web Tool | REopt Energy Integration &amp; Optimization | NLR</t>
    </r>
  </si>
  <si>
    <t>HT Heat Pumps, net metering, 4 hour battery, free capital</t>
  </si>
  <si>
    <r>
      <rPr>
        <color rgb="FF1155CC"/>
        <u/>
      </rPr>
      <t>HT Heat Pumps, net metering, 4 hour battery, free capital | REopt Web Tool | REopt Energy Integration &amp; Optimization | NLR</t>
    </r>
  </si>
  <si>
    <r>
      <rPr>
        <color rgb="FF1155CC"/>
        <u/>
      </rPr>
      <t>HT Heat Pumps, net metering, 4 hour battery, free capital | REopt Web Tool | REopt Energy Integration &amp; Optimization | NLR</t>
    </r>
  </si>
  <si>
    <t>HT Heat Pumps, net billing, 4 hour battery, full cost</t>
  </si>
  <si>
    <r>
      <rPr>
        <color rgb="FF1155CC"/>
        <u/>
      </rPr>
      <t>HT Heat Pumps, net billing, 4 hour battery, full cost | REopt Web Tool | REopt Energy Integration &amp; Optimization | NLR</t>
    </r>
  </si>
  <si>
    <r>
      <rPr>
        <color rgb="FF1155CC"/>
        <u/>
      </rPr>
      <t>HT Heat Pumps, net billing, 4 hour battery, full cost | REopt Web Tool | REopt Energy Integration &amp; Optimization | NLR</t>
    </r>
  </si>
  <si>
    <t>HT Heat Pumps, net billing, 4 hour battery, free capital</t>
  </si>
  <si>
    <r>
      <rPr>
        <color rgb="FF1155CC"/>
        <u/>
      </rPr>
      <t>HT Heat Pumps, net billing, 4 hour battery, free capital | REopt Web Tool | REopt Energy Integration &amp; Optimization | NLR</t>
    </r>
  </si>
  <si>
    <r>
      <rPr>
        <color rgb="FF1155CC"/>
        <u/>
      </rPr>
      <t>HT Heat Pumps, net billing, 4 hour battery, free capital | REopt Web Tool | REopt Energy Integration &amp; Optimization | NLR</t>
    </r>
  </si>
  <si>
    <t>Electric Boiler, net metering, 1 hour battery, full cost</t>
  </si>
  <si>
    <r>
      <rPr>
        <color rgb="FF1155CC"/>
        <u/>
      </rPr>
      <t>Electric boiler, net metering, 1 hour battery, full cost | REopt Web Tool | REopt Energy Integration &amp; Optimization | NLR</t>
    </r>
  </si>
  <si>
    <r>
      <rPr>
        <color rgb="FF1155CC"/>
        <u/>
      </rPr>
      <t>Electric boiler, net metering, 1 hour battery, full cost | REopt Web Tool | REopt Energy Integration &amp; Optimization | NLR</t>
    </r>
  </si>
  <si>
    <t>50;50</t>
  </si>
  <si>
    <t>Electric Boiler, net metering, 1 hour battery, free capital</t>
  </si>
  <si>
    <r>
      <rPr>
        <color rgb="FF1155CC"/>
        <u/>
      </rPr>
      <t>Electric boiler, net metering, 1 hour battery, free capital | REopt Web Tool | REopt Energy Integration &amp; Optimization | NLR</t>
    </r>
  </si>
  <si>
    <r>
      <rPr>
        <color rgb="FF1155CC"/>
        <u/>
      </rPr>
      <t>Electric boiler, net metering, 1 hour battery, free capital | REopt Web Tool | REopt Energy Integration &amp; Optimization | NLR</t>
    </r>
  </si>
  <si>
    <t>Electric Boiler, net billing, 1 hour battery, full cost</t>
  </si>
  <si>
    <r>
      <rPr>
        <color rgb="FF1155CC"/>
        <u/>
      </rPr>
      <t>Electric boiler, net billing, 1 hour battery, full cost | REopt Web Tool | REopt Energy Integration &amp; Optimization | NLR</t>
    </r>
  </si>
  <si>
    <r>
      <rPr>
        <color rgb="FF1155CC"/>
        <u/>
      </rPr>
      <t>Electric boiler, net billing, 1 hour battery, full cost | REopt Web Tool | REopt Energy Integration &amp; Optimization | NLR</t>
    </r>
  </si>
  <si>
    <t>Electric Boiler, net billing, 1 hour battery, free capital</t>
  </si>
  <si>
    <r>
      <rPr>
        <color rgb="FF1155CC"/>
        <u/>
      </rPr>
      <t>Electric boiler, net billing, 1 hour battery, free capital | REopt Web Tool | REopt Energy Integration &amp; Optimization | NLR</t>
    </r>
  </si>
  <si>
    <r>
      <rPr>
        <color rgb="FF1155CC"/>
        <u/>
      </rPr>
      <t>Electric boiler, net billing, 1 hour battery, free capital | REopt Web Tool | REopt Energy Integration &amp; Optimization | NLR</t>
    </r>
  </si>
  <si>
    <t>Electric Boiler, net metering, 2 hour battery, full cost</t>
  </si>
  <si>
    <r>
      <rPr>
        <color rgb="FF1155CC"/>
        <u/>
      </rPr>
      <t>Electric boiler, net metering, 2 hour battery, full cost | REopt Web Tool | REopt Energy Integration &amp; Optimization | NLR</t>
    </r>
  </si>
  <si>
    <r>
      <rPr>
        <color rgb="FF1155CC"/>
        <u/>
      </rPr>
      <t>Electric boiler, net metering, 2 hour battery, full cost | REopt Web Tool | REopt Energy Integration &amp; Optimization | NLR</t>
    </r>
  </si>
  <si>
    <t>50;100</t>
  </si>
  <si>
    <t>Electric Boiler, net metering, 2 hour battery, free capital</t>
  </si>
  <si>
    <r>
      <rPr>
        <color rgb="FF1155CC"/>
        <u/>
      </rPr>
      <t>Electric boiler, net metering, 2 hour battery, free capital | REopt Web Tool | REopt Energy Integration &amp; Optimization | NLR</t>
    </r>
  </si>
  <si>
    <r>
      <rPr>
        <color rgb="FF1155CC"/>
        <u/>
      </rPr>
      <t>Electric boiler, net metering, 2 hour battery, free capital | REopt Web Tool | REopt Energy Integration &amp; Optimization | NLR</t>
    </r>
  </si>
  <si>
    <t>Electric Boiler, net billing, 2 hour battery, full cost</t>
  </si>
  <si>
    <r>
      <rPr>
        <color rgb="FF1155CC"/>
        <u/>
      </rPr>
      <t>Electric boiler, net billing, 2 hour battery, full cost | REopt Web Tool | REopt Energy Integration &amp; Optimization | NLR</t>
    </r>
  </si>
  <si>
    <r>
      <rPr>
        <color rgb="FF1155CC"/>
        <u/>
      </rPr>
      <t>Electric boiler, net billing, 2 hour battery, full cost | REopt Web Tool | REopt Energy Integration &amp; Optimization | NLR</t>
    </r>
  </si>
  <si>
    <t>Electric Boiler, net billing, 2 hour battery, free capital</t>
  </si>
  <si>
    <r>
      <rPr>
        <color rgb="FF1155CC"/>
        <u/>
      </rPr>
      <t>Electric boiler, net billing, 2 hour battery, free capital | REopt Web Tool | REopt Energy Integration &amp; Optimization | NLR</t>
    </r>
  </si>
  <si>
    <r>
      <rPr>
        <color rgb="FF1155CC"/>
        <u/>
      </rPr>
      <t>Electric boiler, net billing, 2 hour battery, free capital | REopt Web Tool | REopt Energy Integration &amp; Optimization | NLR</t>
    </r>
  </si>
  <si>
    <t>Electric Boiler, net metering, 4 hour battery, full cost</t>
  </si>
  <si>
    <r>
      <rPr>
        <color rgb="FF1155CC"/>
        <u/>
      </rPr>
      <t>Electric boiler, net metering, 4 hour battery, full cost | REopt Web Tool | REopt Energy Integration &amp; Optimization | NLR</t>
    </r>
  </si>
  <si>
    <r>
      <rPr>
        <color rgb="FF1155CC"/>
        <u/>
      </rPr>
      <t>Electric boiler, net metering, 4 hour battery, full cost | REopt Web Tool | REopt Energy Integration &amp; Optimization | NLR</t>
    </r>
  </si>
  <si>
    <t>50;200</t>
  </si>
  <si>
    <t>Electric Boiler, net metering, 4 hour battery, free capital</t>
  </si>
  <si>
    <r>
      <rPr>
        <color rgb="FF1155CC"/>
        <u/>
      </rPr>
      <t>Electric boiler, net metering, 4 hour battery, free capital | REopt Web Tool | REopt Energy Integration &amp; Optimization | NLR</t>
    </r>
  </si>
  <si>
    <r>
      <rPr>
        <color rgb="FF1155CC"/>
        <u/>
      </rPr>
      <t>Electric boiler, net metering, 4 hour battery, free capital | REopt Web Tool | REopt Energy Integration &amp; Optimization | NLR</t>
    </r>
  </si>
  <si>
    <t>Electric Boiler, net billing, 4 hour battery, full cost</t>
  </si>
  <si>
    <r>
      <rPr>
        <color rgb="FF1155CC"/>
        <u/>
      </rPr>
      <t>Electric boiler, net billing, 4 hour battery, full cost | REopt Web Tool | REopt Energy Integration &amp; Optimization | NLR</t>
    </r>
  </si>
  <si>
    <r>
      <rPr>
        <color rgb="FF1155CC"/>
        <u/>
      </rPr>
      <t>Electric boiler, net billing, 4 hour battery, full cost | REopt Web Tool | REopt Energy Integration &amp; Optimization | NLR</t>
    </r>
  </si>
  <si>
    <t>Electric Boiler, net billing, 4 hour battery, free capital</t>
  </si>
  <si>
    <r>
      <rPr>
        <color rgb="FF1155CC"/>
        <u/>
      </rPr>
      <t>Electric boiler, net billing, 4 hour battery, free capital | REopt Web Tool | REopt Energy Integration &amp; Optimization | NLR</t>
    </r>
  </si>
  <si>
    <r>
      <rPr>
        <color rgb="FF1155CC"/>
        <u/>
      </rPr>
      <t>Electric boiler, net billing, 4 hour battery, free capital | REopt Web Tool | REopt Energy Integration &amp; Optimization | NLR</t>
    </r>
  </si>
  <si>
    <t>Full cost (25 years):</t>
  </si>
  <si>
    <t># of Heating Equipment</t>
  </si>
  <si>
    <t>Heating Equipment Cost</t>
  </si>
  <si>
    <t>FCU scale factor</t>
  </si>
  <si>
    <t># of new FCU</t>
  </si>
  <si>
    <t>FCU Cost</t>
  </si>
  <si>
    <t>Total heating CAPEX</t>
  </si>
  <si>
    <t>Fuel cost</t>
  </si>
  <si>
    <t>Electricity cost (no PV)</t>
  </si>
  <si>
    <t>OPEX (no PV):</t>
  </si>
  <si>
    <t>OPEX savings (no PV):</t>
  </si>
  <si>
    <t>CAPEX (no PV):</t>
  </si>
  <si>
    <t>CAPEX savings (no PV):</t>
  </si>
  <si>
    <t>Life cycle cost (no PV):</t>
  </si>
  <si>
    <t>Life cycle savings (no PV):</t>
  </si>
  <si>
    <t>PV CAPEX (net metering):</t>
  </si>
  <si>
    <t>PV OPEX (net metering):</t>
  </si>
  <si>
    <t>Electricity cost (net metering)</t>
  </si>
  <si>
    <t>OPEX (net metering):</t>
  </si>
  <si>
    <t>OPEX savings (net metering):</t>
  </si>
  <si>
    <t>CAPEX (net metering):</t>
  </si>
  <si>
    <t>CAPEX savings (net metering):</t>
  </si>
  <si>
    <t>Life cycle cost (net metering):</t>
  </si>
  <si>
    <t>Life cycle savings (net metering):</t>
  </si>
  <si>
    <t>PV CAPEX (net billing):</t>
  </si>
  <si>
    <t>PV OPEX (net billing):</t>
  </si>
  <si>
    <t>Electricity cost (net billing)</t>
  </si>
  <si>
    <t>OPEX (net billing):</t>
  </si>
  <si>
    <t>OPEX savings (net billing):</t>
  </si>
  <si>
    <t>CAPEX (net billing):</t>
  </si>
  <si>
    <t>CAPEX savings (net billing):</t>
  </si>
  <si>
    <t>Life cycle cost (net billing):</t>
  </si>
  <si>
    <t>Life cycle savings (net billing):</t>
  </si>
  <si>
    <t>Broken controls</t>
  </si>
  <si>
    <t>Fixed controls</t>
  </si>
  <si>
    <t>LT-ASHP (Schedule 25)</t>
  </si>
  <si>
    <t>LT-ASHP (Schedule 24)</t>
  </si>
  <si>
    <t>HT-ASHP</t>
  </si>
  <si>
    <t>Electric Boiler</t>
  </si>
  <si>
    <t>Free capital (10 years):</t>
  </si>
  <si>
    <t># of extra FCU</t>
  </si>
  <si>
    <t>Notes:</t>
  </si>
  <si>
    <t>REopt does not automatically put BAU on Schedule 24</t>
  </si>
  <si>
    <t>REopt is comparing new solutions to fixed controls</t>
  </si>
  <si>
    <t>We did not specify equipment CAPEX in REopt</t>
  </si>
  <si>
    <t>These calculations handle all three of those things</t>
  </si>
  <si>
    <t>Replace with formula calculations when we have more time:</t>
  </si>
  <si>
    <t>Net metering 80 kW CAPEX:</t>
  </si>
  <si>
    <t>Net metering 80 kW PV + 10 kWh battery CAPEX:</t>
  </si>
  <si>
    <t>Net billing 58 kW PV + 10 kWh battery CAPEX:</t>
  </si>
  <si>
    <t>10 kWh battery CAPEX:</t>
  </si>
  <si>
    <t>58 kW PV CAPEX:</t>
  </si>
  <si>
    <t>Net metering 80 kW PV + 20 kWh battery CAPEX:</t>
  </si>
  <si>
    <t>Net billing 61 kW PV + 20 kWh battery CAPEX:</t>
  </si>
  <si>
    <t>20 kWh battery CAPEX:</t>
  </si>
  <si>
    <t>61 kW PV CAPEX:</t>
  </si>
  <si>
    <t>Net metering 80 kW PV + 40 kWh battery CAPEX:</t>
  </si>
  <si>
    <t>Net billing 68 kW PV + 40 kWh battery CAPEX:</t>
  </si>
  <si>
    <t>40 kWh battery CAPEX:</t>
  </si>
  <si>
    <t>68 kW PV CAPEX: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</si>
</sst>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"/>
    <numFmt numFmtId="165" formatCode="#,##0.0"/>
    <numFmt numFmtId="166" formatCode="0.0"/>
    <numFmt numFmtId="167" formatCode="&quot;$&quot;#,##0.0"/>
    <numFmt numFmtId="168" formatCode="&quot;$&quot;#,##0.00"/>
  </numFmts>
  <fonts count="29">
    <font>
      <sz val="11.0"/>
      <color theme="1"/>
      <name val="Arial"/>
      <scheme val="minor"/>
    </font>
    <font>
      <color theme="1"/>
      <name val="Arial"/>
    </font>
    <font>
      <color rgb="FFFFFFFF"/>
      <name val="Arial"/>
    </font>
    <font>
      <sz val="11.0"/>
      <color theme="1"/>
      <name val="Arial"/>
    </font>
    <font>
      <u/>
      <color rgb="FF0000FF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1155CC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  <font>
      <sz val="10.0"/>
      <color theme="1"/>
      <name val="Arial"/>
    </font>
    <font>
      <u/>
      <color rgb="FF0000FF"/>
    </font>
    <font>
      <u/>
      <sz val="11.0"/>
      <color rgb="FF0000FF"/>
      <name val="Arial"/>
    </font>
    <font>
      <sz val="8.0"/>
      <color theme="1"/>
      <name val="Arial"/>
    </font>
    <font>
      <u/>
      <color rgb="FF0000FF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b/>
      <u/>
      <color theme="1"/>
      <name val="Arial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shrinkToFit="0" wrapText="1"/>
    </xf>
    <xf borderId="2" fillId="0" fontId="1" numFmtId="0" xfId="0" applyBorder="1" applyFont="1"/>
    <xf borderId="2" fillId="2" fontId="1" numFmtId="0" xfId="0" applyAlignment="1" applyBorder="1" applyFill="1" applyFont="1">
      <alignment shrinkToFit="0" wrapText="1"/>
    </xf>
    <xf borderId="0" fillId="0" fontId="1" numFmtId="0" xfId="0" applyFont="1"/>
    <xf borderId="1" fillId="3" fontId="2" numFmtId="0" xfId="0" applyAlignment="1" applyBorder="1" applyFill="1" applyFont="1">
      <alignment shrinkToFit="0" wrapText="1"/>
    </xf>
    <xf borderId="0" fillId="3" fontId="2" numFmtId="0" xfId="0" applyAlignment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2" fillId="4" fontId="2" numFmtId="0" xfId="0" applyAlignment="1" applyBorder="1" applyFont="1">
      <alignment shrinkToFit="0" wrapText="1"/>
    </xf>
    <xf borderId="2" fillId="5" fontId="1" numFmtId="0" xfId="0" applyAlignment="1" applyBorder="1" applyFill="1" applyFont="1">
      <alignment shrinkToFit="0" wrapText="1"/>
    </xf>
    <xf borderId="3" fillId="6" fontId="3" numFmtId="0" xfId="0" applyAlignment="1" applyBorder="1" applyFill="1" applyFont="1">
      <alignment vertical="bottom"/>
    </xf>
    <xf borderId="0" fillId="7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4" numFmtId="164" xfId="0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left" vertical="bottom"/>
    </xf>
    <xf borderId="0" fillId="0" fontId="3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7" fontId="3" numFmtId="0" xfId="0" applyAlignment="1" applyFont="1">
      <alignment horizontal="right" vertical="bottom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0" fillId="7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left" shrinkToFit="0" vertical="bottom" wrapText="1"/>
    </xf>
    <xf borderId="0" fillId="0" fontId="3" numFmtId="9" xfId="0" applyAlignment="1" applyFont="1" applyNumberFormat="1">
      <alignment horizontal="left" shrinkToFit="0" vertical="bottom" wrapText="1"/>
    </xf>
    <xf borderId="3" fillId="0" fontId="1" numFmtId="3" xfId="0" applyBorder="1" applyFont="1" applyNumberFormat="1"/>
    <xf borderId="0" fillId="0" fontId="1" numFmtId="3" xfId="0" applyFont="1" applyNumberFormat="1"/>
    <xf borderId="3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3" numFmtId="9" xfId="0" applyAlignment="1" applyFont="1" applyNumberFormat="1">
      <alignment vertical="bottom"/>
    </xf>
    <xf borderId="0" fillId="0" fontId="1" numFmtId="164" xfId="0" applyFont="1" applyNumberFormat="1"/>
    <xf borderId="0" fillId="0" fontId="3" numFmtId="164" xfId="0" applyAlignment="1" applyFont="1" applyNumberFormat="1">
      <alignment vertical="bottom"/>
    </xf>
    <xf borderId="2" fillId="0" fontId="1" numFmtId="0" xfId="0" applyAlignment="1" applyBorder="1" applyFont="1">
      <alignment horizontal="center"/>
    </xf>
    <xf borderId="4" fillId="2" fontId="1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shrinkToFit="0" wrapText="1"/>
    </xf>
    <xf borderId="0" fillId="8" fontId="1" numFmtId="0" xfId="0" applyFill="1" applyFont="1"/>
    <xf borderId="0" fillId="9" fontId="3" numFmtId="0" xfId="0" applyAlignment="1" applyFill="1" applyFont="1">
      <alignment vertical="bottom"/>
    </xf>
    <xf borderId="0" fillId="10" fontId="7" numFmtId="164" xfId="0" applyAlignment="1" applyFill="1" applyFont="1" applyNumberFormat="1">
      <alignment vertical="bottom"/>
    </xf>
    <xf borderId="0" fillId="9" fontId="1" numFmtId="0" xfId="0" applyFont="1"/>
    <xf borderId="0" fillId="8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7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6" fontId="8" numFmtId="0" xfId="0" applyAlignment="1" applyFont="1">
      <alignment vertical="bottom"/>
    </xf>
    <xf borderId="0" fillId="0" fontId="1" numFmtId="166" xfId="0" applyFont="1" applyNumberFormat="1"/>
    <xf borderId="5" fillId="6" fontId="1" numFmtId="1" xfId="0" applyBorder="1" applyFont="1" applyNumberFormat="1"/>
    <xf borderId="0" fillId="0" fontId="3" numFmtId="1" xfId="0" applyAlignment="1" applyFont="1" applyNumberFormat="1">
      <alignment shrinkToFit="0" vertical="bottom" wrapText="1"/>
    </xf>
    <xf borderId="0" fillId="0" fontId="3" numFmtId="9" xfId="0" applyAlignment="1" applyFont="1" applyNumberFormat="1">
      <alignment shrinkToFit="0" vertical="bottom" wrapText="1"/>
    </xf>
    <xf borderId="1" fillId="10" fontId="1" numFmtId="0" xfId="0" applyAlignment="1" applyBorder="1" applyFont="1">
      <alignment horizontal="right"/>
    </xf>
    <xf borderId="2" fillId="10" fontId="1" numFmtId="0" xfId="0" applyAlignment="1" applyBorder="1" applyFont="1">
      <alignment horizontal="right"/>
    </xf>
    <xf borderId="4" fillId="10" fontId="1" numFmtId="0" xfId="0" applyAlignment="1" applyBorder="1" applyFont="1">
      <alignment horizontal="right"/>
    </xf>
    <xf borderId="3" fillId="10" fontId="3" numFmtId="164" xfId="0" applyAlignment="1" applyBorder="1" applyFont="1" applyNumberFormat="1">
      <alignment horizontal="right" vertical="bottom"/>
    </xf>
    <xf borderId="0" fillId="10" fontId="3" numFmtId="3" xfId="0" applyAlignment="1" applyFont="1" applyNumberFormat="1">
      <alignment horizontal="right" vertical="bottom"/>
    </xf>
    <xf borderId="1" fillId="10" fontId="3" numFmtId="0" xfId="0" applyAlignment="1" applyBorder="1" applyFont="1">
      <alignment horizontal="right" vertical="bottom"/>
    </xf>
    <xf borderId="2" fillId="10" fontId="3" numFmtId="0" xfId="0" applyAlignment="1" applyBorder="1" applyFont="1">
      <alignment horizontal="right" vertical="bottom"/>
    </xf>
    <xf borderId="2" fillId="10" fontId="3" numFmtId="9" xfId="0" applyAlignment="1" applyBorder="1" applyFont="1" applyNumberFormat="1">
      <alignment vertical="bottom"/>
    </xf>
    <xf borderId="2" fillId="10" fontId="3" numFmtId="164" xfId="0" applyAlignment="1" applyBorder="1" applyFont="1" applyNumberFormat="1">
      <alignment vertical="bottom"/>
    </xf>
    <xf borderId="4" fillId="10" fontId="3" numFmtId="0" xfId="0" applyAlignment="1" applyBorder="1" applyFont="1">
      <alignment vertical="bottom"/>
    </xf>
    <xf borderId="0" fillId="10" fontId="9" numFmtId="3" xfId="0" applyFont="1" applyNumberFormat="1"/>
    <xf borderId="3" fillId="10" fontId="1" numFmtId="0" xfId="0" applyAlignment="1" applyBorder="1" applyFont="1">
      <alignment horizontal="right"/>
    </xf>
    <xf borderId="0" fillId="10" fontId="1" numFmtId="0" xfId="0" applyAlignment="1" applyFont="1">
      <alignment horizontal="right"/>
    </xf>
    <xf borderId="5" fillId="10" fontId="1" numFmtId="0" xfId="0" applyAlignment="1" applyBorder="1" applyFont="1">
      <alignment horizontal="right"/>
    </xf>
    <xf borderId="3" fillId="10" fontId="3" numFmtId="0" xfId="0" applyAlignment="1" applyBorder="1" applyFont="1">
      <alignment horizontal="right" vertical="bottom"/>
    </xf>
    <xf borderId="0" fillId="10" fontId="3" numFmtId="0" xfId="0" applyAlignment="1" applyFont="1">
      <alignment horizontal="right" vertical="bottom"/>
    </xf>
    <xf borderId="0" fillId="10" fontId="3" numFmtId="9" xfId="0" applyAlignment="1" applyFont="1" applyNumberFormat="1">
      <alignment vertical="bottom"/>
    </xf>
    <xf borderId="0" fillId="10" fontId="3" numFmtId="164" xfId="0" applyAlignment="1" applyFont="1" applyNumberFormat="1">
      <alignment vertical="bottom"/>
    </xf>
    <xf borderId="5" fillId="10" fontId="3" numFmtId="0" xfId="0" applyAlignment="1" applyBorder="1" applyFont="1">
      <alignment vertical="bottom"/>
    </xf>
    <xf borderId="0" fillId="10" fontId="1" numFmtId="164" xfId="0" applyFont="1" applyNumberFormat="1"/>
    <xf borderId="0" fillId="7" fontId="1" numFmtId="0" xfId="0" applyFont="1"/>
    <xf borderId="0" fillId="0" fontId="1" numFmtId="0" xfId="0" applyAlignment="1" applyFont="1">
      <alignment horizontal="center"/>
    </xf>
    <xf borderId="0" fillId="0" fontId="1" numFmtId="4" xfId="0" applyFont="1" applyNumberFormat="1"/>
    <xf borderId="0" fillId="0" fontId="10" numFmtId="0" xfId="0" applyFont="1"/>
    <xf borderId="0" fillId="6" fontId="11" numFmtId="0" xfId="0" applyFont="1"/>
    <xf borderId="0" fillId="10" fontId="1" numFmtId="3" xfId="0" applyAlignment="1" applyFont="1" applyNumberFormat="1">
      <alignment horizontal="right"/>
    </xf>
    <xf borderId="0" fillId="10" fontId="1" numFmtId="9" xfId="0" applyFont="1" applyNumberFormat="1"/>
    <xf borderId="5" fillId="10" fontId="1" numFmtId="0" xfId="0" applyBorder="1" applyFont="1"/>
    <xf borderId="6" fillId="0" fontId="1" numFmtId="0" xfId="0" applyBorder="1" applyFont="1"/>
    <xf borderId="6" fillId="8" fontId="1" numFmtId="0" xfId="0" applyBorder="1" applyFont="1"/>
    <xf borderId="6" fillId="0" fontId="3" numFmtId="0" xfId="0" applyAlignment="1" applyBorder="1" applyFont="1">
      <alignment vertical="bottom"/>
    </xf>
    <xf borderId="6" fillId="9" fontId="1" numFmtId="0" xfId="0" applyBorder="1" applyFont="1"/>
    <xf borderId="6" fillId="7" fontId="1" numFmtId="0" xfId="0" applyBorder="1" applyFont="1"/>
    <xf borderId="6" fillId="10" fontId="12" numFmtId="3" xfId="0" applyBorder="1" applyFont="1" applyNumberFormat="1"/>
    <xf borderId="6" fillId="0" fontId="3" numFmtId="165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6" fillId="0" fontId="1" numFmtId="4" xfId="0" applyBorder="1" applyFont="1" applyNumberFormat="1"/>
    <xf borderId="6" fillId="0" fontId="1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14" numFmtId="0" xfId="0" applyBorder="1" applyFont="1"/>
    <xf borderId="6" fillId="7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shrinkToFit="0" vertical="bottom" wrapText="0"/>
    </xf>
    <xf borderId="6" fillId="7" fontId="3" numFmtId="16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left" shrinkToFit="0" vertical="bottom" wrapText="1"/>
    </xf>
    <xf borderId="6" fillId="0" fontId="3" numFmtId="9" xfId="0" applyAlignment="1" applyBorder="1" applyFont="1" applyNumberFormat="1">
      <alignment horizontal="left" shrinkToFit="0" vertical="bottom" wrapText="1"/>
    </xf>
    <xf borderId="6" fillId="0" fontId="3" numFmtId="164" xfId="0" applyAlignment="1" applyBorder="1" applyFont="1" applyNumberFormat="1">
      <alignment horizontal="right" vertical="bottom"/>
    </xf>
    <xf borderId="6" fillId="6" fontId="15" numFmtId="0" xfId="0" applyBorder="1" applyFont="1"/>
    <xf borderId="6" fillId="0" fontId="1" numFmtId="166" xfId="0" applyBorder="1" applyFont="1" applyNumberFormat="1"/>
    <xf borderId="7" fillId="6" fontId="1" numFmtId="1" xfId="0" applyBorder="1" applyFont="1" applyNumberFormat="1"/>
    <xf borderId="6" fillId="0" fontId="3" numFmtId="1" xfId="0" applyAlignment="1" applyBorder="1" applyFont="1" applyNumberFormat="1">
      <alignment shrinkToFit="0" vertical="bottom" wrapText="1"/>
    </xf>
    <xf borderId="6" fillId="0" fontId="3" numFmtId="9" xfId="0" applyAlignment="1" applyBorder="1" applyFont="1" applyNumberFormat="1">
      <alignment shrinkToFit="0" vertical="bottom" wrapText="1"/>
    </xf>
    <xf borderId="8" fillId="10" fontId="3" numFmtId="0" xfId="0" applyAlignment="1" applyBorder="1" applyFont="1">
      <alignment horizontal="right" vertical="bottom"/>
    </xf>
    <xf borderId="6" fillId="10" fontId="1" numFmtId="0" xfId="0" applyAlignment="1" applyBorder="1" applyFont="1">
      <alignment horizontal="right"/>
    </xf>
    <xf borderId="7" fillId="10" fontId="1" numFmtId="0" xfId="0" applyAlignment="1" applyBorder="1" applyFont="1">
      <alignment horizontal="right"/>
    </xf>
    <xf borderId="8" fillId="10" fontId="1" numFmtId="3" xfId="0" applyAlignment="1" applyBorder="1" applyFont="1" applyNumberFormat="1">
      <alignment horizontal="right"/>
    </xf>
    <xf borderId="6" fillId="10" fontId="3" numFmtId="0" xfId="0" applyAlignment="1" applyBorder="1" applyFont="1">
      <alignment horizontal="right" vertical="bottom"/>
    </xf>
    <xf borderId="6" fillId="10" fontId="3" numFmtId="3" xfId="0" applyAlignment="1" applyBorder="1" applyFont="1" applyNumberFormat="1">
      <alignment horizontal="right" vertical="bottom"/>
    </xf>
    <xf borderId="6" fillId="10" fontId="1" numFmtId="3" xfId="0" applyAlignment="1" applyBorder="1" applyFont="1" applyNumberFormat="1">
      <alignment horizontal="right"/>
    </xf>
    <xf borderId="8" fillId="10" fontId="1" numFmtId="0" xfId="0" applyAlignment="1" applyBorder="1" applyFont="1">
      <alignment horizontal="right"/>
    </xf>
    <xf borderId="6" fillId="10" fontId="1" numFmtId="9" xfId="0" applyBorder="1" applyFont="1" applyNumberFormat="1"/>
    <xf borderId="6" fillId="10" fontId="1" numFmtId="164" xfId="0" applyBorder="1" applyFont="1" applyNumberFormat="1"/>
    <xf borderId="6" fillId="10" fontId="3" numFmtId="164" xfId="0" applyAlignment="1" applyBorder="1" applyFont="1" applyNumberFormat="1">
      <alignment vertical="bottom"/>
    </xf>
    <xf borderId="7" fillId="10" fontId="1" numFmtId="0" xfId="0" applyBorder="1" applyFont="1"/>
    <xf borderId="0" fillId="0" fontId="16" numFmtId="0" xfId="0" applyFont="1"/>
    <xf borderId="0" fillId="0" fontId="1" numFmtId="9" xfId="0" applyFont="1" applyNumberFormat="1"/>
    <xf borderId="0" fillId="0" fontId="3" numFmtId="9" xfId="0" applyAlignment="1" applyFont="1" applyNumberFormat="1">
      <alignment horizontal="right" vertical="bottom"/>
    </xf>
    <xf borderId="0" fillId="0" fontId="3" numFmtId="0" xfId="0" applyAlignment="1" applyFont="1">
      <alignment horizontal="left" vertical="bottom"/>
    </xf>
    <xf borderId="0" fillId="0" fontId="17" numFmtId="0" xfId="0" applyFont="1"/>
    <xf borderId="3" fillId="0" fontId="3" numFmtId="0" xfId="0" applyAlignment="1" applyBorder="1" applyFont="1">
      <alignment vertical="bottom"/>
    </xf>
    <xf borderId="0" fillId="0" fontId="18" numFmtId="3" xfId="0" applyFont="1" applyNumberFormat="1"/>
    <xf borderId="3" fillId="0" fontId="1" numFmtId="167" xfId="0" applyBorder="1" applyFont="1" applyNumberFormat="1"/>
    <xf borderId="6" fillId="6" fontId="19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6" fillId="0" fontId="1" numFmtId="3" xfId="0" applyBorder="1" applyFont="1" applyNumberFormat="1"/>
    <xf borderId="8" fillId="0" fontId="1" numFmtId="164" xfId="0" applyBorder="1" applyFont="1" applyNumberFormat="1"/>
    <xf borderId="6" fillId="0" fontId="1" numFmtId="9" xfId="0" applyBorder="1" applyFont="1" applyNumberFormat="1"/>
    <xf borderId="6" fillId="0" fontId="1" numFmtId="164" xfId="0" applyBorder="1" applyFont="1" applyNumberFormat="1"/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3" fillId="0" fontId="1" numFmtId="164" xfId="0" applyAlignment="1" applyBorder="1" applyFont="1" applyNumberFormat="1">
      <alignment horizontal="right"/>
    </xf>
    <xf borderId="2" fillId="0" fontId="3" numFmtId="164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3" fillId="0" fontId="3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3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3" fillId="0" fontId="3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/>
    </xf>
    <xf borderId="3" fillId="0" fontId="3" numFmtId="164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horizontal="right"/>
    </xf>
    <xf borderId="8" fillId="0" fontId="3" numFmtId="0" xfId="0" applyAlignment="1" applyBorder="1" applyFont="1">
      <alignment horizontal="right" vertical="bottom"/>
    </xf>
    <xf borderId="6" fillId="0" fontId="1" numFmtId="3" xfId="0" applyAlignment="1" applyBorder="1" applyFont="1" applyNumberFormat="1">
      <alignment horizontal="right"/>
    </xf>
    <xf borderId="7" fillId="0" fontId="1" numFmtId="0" xfId="0" applyAlignment="1" applyBorder="1" applyFont="1">
      <alignment horizontal="right"/>
    </xf>
    <xf borderId="8" fillId="0" fontId="1" numFmtId="164" xfId="0" applyAlignment="1" applyBorder="1" applyFont="1" applyNumberFormat="1">
      <alignment horizontal="right"/>
    </xf>
    <xf borderId="6" fillId="0" fontId="3" numFmtId="3" xfId="0" applyAlignment="1" applyBorder="1" applyFont="1" applyNumberFormat="1">
      <alignment horizontal="right" vertical="bottom"/>
    </xf>
    <xf borderId="8" fillId="0" fontId="1" numFmtId="3" xfId="0" applyAlignment="1" applyBorder="1" applyFont="1" applyNumberFormat="1">
      <alignment horizontal="right"/>
    </xf>
    <xf borderId="6" fillId="0" fontId="3" numFmtId="164" xfId="0" applyAlignment="1" applyBorder="1" applyFont="1" applyNumberFormat="1">
      <alignment vertical="bottom"/>
    </xf>
    <xf borderId="7" fillId="0" fontId="1" numFmtId="0" xfId="0" applyBorder="1" applyFont="1"/>
    <xf borderId="0" fillId="0" fontId="20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Border="1" applyFont="1"/>
    <xf borderId="1" fillId="2" fontId="1" numFmtId="0" xfId="0" applyAlignment="1" applyBorder="1" applyFont="1">
      <alignment shrinkToFit="0" wrapText="1"/>
    </xf>
    <xf borderId="4" fillId="2" fontId="3" numFmtId="0" xfId="0" applyAlignment="1" applyBorder="1" applyFont="1">
      <alignment shrinkToFit="0" vertical="bottom" wrapText="1"/>
    </xf>
    <xf borderId="9" fillId="0" fontId="1" numFmtId="0" xfId="0" applyBorder="1" applyFont="1"/>
    <xf borderId="10" fillId="6" fontId="3" numFmtId="0" xfId="0" applyAlignment="1" applyBorder="1" applyFont="1">
      <alignment vertical="bottom"/>
    </xf>
    <xf borderId="3" fillId="11" fontId="3" numFmtId="0" xfId="0" applyAlignment="1" applyBorder="1" applyFill="1" applyFont="1">
      <alignment shrinkToFit="0" vertical="bottom" wrapText="0"/>
    </xf>
    <xf borderId="3" fillId="8" fontId="3" numFmtId="0" xfId="0" applyAlignment="1" applyBorder="1" applyFont="1">
      <alignment vertical="bottom"/>
    </xf>
    <xf borderId="3" fillId="7" fontId="3" numFmtId="0" xfId="0" applyAlignment="1" applyBorder="1" applyFont="1">
      <alignment vertical="bottom"/>
    </xf>
    <xf borderId="0" fillId="0" fontId="21" numFmtId="0" xfId="0" applyFont="1"/>
    <xf borderId="3" fillId="0" fontId="3" numFmtId="0" xfId="0" applyAlignment="1" applyBorder="1" applyFont="1">
      <alignment shrinkToFit="0" vertical="bottom" wrapText="0"/>
    </xf>
    <xf borderId="5" fillId="0" fontId="3" numFmtId="165" xfId="0" applyAlignment="1" applyBorder="1" applyFont="1" applyNumberFormat="1">
      <alignment horizontal="right" vertical="bottom"/>
    </xf>
    <xf borderId="3" fillId="0" fontId="1" numFmtId="0" xfId="0" applyBorder="1" applyFont="1"/>
    <xf borderId="5" fillId="0" fontId="3" numFmtId="4" xfId="0" applyAlignment="1" applyBorder="1" applyFont="1" applyNumberFormat="1">
      <alignment horizontal="right" vertical="bottom"/>
    </xf>
    <xf borderId="3" fillId="0" fontId="22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3" fillId="7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shrinkToFit="0" vertical="bottom" wrapText="1"/>
    </xf>
    <xf borderId="5" fillId="0" fontId="3" numFmtId="9" xfId="0" applyAlignment="1" applyBorder="1" applyFont="1" applyNumberFormat="1">
      <alignment horizontal="left" shrinkToFit="0" vertical="bottom" wrapText="1"/>
    </xf>
    <xf borderId="3" fillId="7" fontId="3" numFmtId="164" xfId="0" applyAlignment="1" applyBorder="1" applyFont="1" applyNumberFormat="1">
      <alignment horizontal="right" shrinkToFit="0" vertical="bottom" wrapText="1"/>
    </xf>
    <xf borderId="0" fillId="7" fontId="3" numFmtId="164" xfId="0" applyAlignment="1" applyFont="1" applyNumberFormat="1">
      <alignment horizontal="right" shrinkToFit="0" vertical="bottom" wrapText="1"/>
    </xf>
    <xf borderId="0" fillId="11" fontId="3" numFmtId="0" xfId="0" applyAlignment="1" applyFont="1">
      <alignment horizontal="right" shrinkToFit="0" vertical="bottom" wrapText="1"/>
    </xf>
    <xf borderId="0" fillId="6" fontId="3" numFmtId="0" xfId="0" applyAlignment="1" applyFont="1">
      <alignment horizontal="right" shrinkToFit="0" vertical="bottom" wrapText="1"/>
    </xf>
    <xf borderId="0" fillId="0" fontId="3" numFmtId="9" xfId="0" applyAlignment="1" applyFont="1" applyNumberFormat="1">
      <alignment horizontal="right" shrinkToFit="0" vertical="bottom" wrapText="1"/>
    </xf>
    <xf borderId="0" fillId="6" fontId="1" numFmtId="1" xfId="0" applyFont="1" applyNumberFormat="1"/>
    <xf borderId="4" fillId="0" fontId="1" numFmtId="0" xfId="0" applyAlignment="1" applyBorder="1" applyFont="1">
      <alignment horizontal="right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3" numFmtId="9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5" fillId="7" fontId="3" numFmtId="0" xfId="0" applyAlignment="1" applyBorder="1" applyFont="1">
      <alignment vertical="bottom"/>
    </xf>
    <xf borderId="5" fillId="8" fontId="1" numFmtId="0" xfId="0" applyBorder="1" applyFont="1"/>
    <xf borderId="0" fillId="11" fontId="3" numFmtId="0" xfId="0" applyAlignment="1" applyFont="1">
      <alignment shrinkToFit="0" vertical="bottom" wrapText="0"/>
    </xf>
    <xf borderId="3" fillId="7" fontId="1" numFmtId="0" xfId="0" applyBorder="1" applyFont="1"/>
    <xf borderId="5" fillId="0" fontId="1" numFmtId="0" xfId="0" applyBorder="1" applyFont="1"/>
    <xf borderId="5" fillId="0" fontId="1" numFmtId="4" xfId="0" applyBorder="1" applyFont="1" applyNumberFormat="1"/>
    <xf borderId="5" fillId="7" fontId="1" numFmtId="0" xfId="0" applyBorder="1" applyFont="1"/>
    <xf borderId="0" fillId="0" fontId="1" numFmtId="0" xfId="0" applyAlignment="1" applyFont="1">
      <alignment shrinkToFit="0" wrapText="0"/>
    </xf>
    <xf borderId="0" fillId="11" fontId="1" numFmtId="0" xfId="0" applyAlignment="1" applyFont="1">
      <alignment shrinkToFit="0" wrapText="0"/>
    </xf>
    <xf borderId="11" fillId="6" fontId="3" numFmtId="0" xfId="0" applyAlignment="1" applyBorder="1" applyFont="1">
      <alignment vertical="bottom"/>
    </xf>
    <xf borderId="8" fillId="0" fontId="1" numFmtId="0" xfId="0" applyBorder="1" applyFont="1"/>
    <xf borderId="6" fillId="0" fontId="1" numFmtId="0" xfId="0" applyAlignment="1" applyBorder="1" applyFont="1">
      <alignment shrinkToFit="0" wrapText="0"/>
    </xf>
    <xf borderId="6" fillId="11" fontId="1" numFmtId="0" xfId="0" applyAlignment="1" applyBorder="1" applyFont="1">
      <alignment shrinkToFit="0" wrapText="0"/>
    </xf>
    <xf borderId="7" fillId="8" fontId="1" numFmtId="0" xfId="0" applyBorder="1" applyFont="1"/>
    <xf borderId="7" fillId="7" fontId="1" numFmtId="0" xfId="0" applyBorder="1" applyFont="1"/>
    <xf borderId="8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vertical="bottom"/>
    </xf>
    <xf borderId="8" fillId="6" fontId="3" numFmtId="0" xfId="0" applyAlignment="1" applyBorder="1" applyFont="1">
      <alignment vertical="bottom"/>
    </xf>
    <xf borderId="7" fillId="0" fontId="3" numFmtId="165" xfId="0" applyAlignment="1" applyBorder="1" applyFont="1" applyNumberFormat="1">
      <alignment horizontal="right" vertical="bottom"/>
    </xf>
    <xf borderId="7" fillId="0" fontId="1" numFmtId="4" xfId="0" applyBorder="1" applyFont="1" applyNumberFormat="1"/>
    <xf borderId="8" fillId="0" fontId="23" numFmtId="0" xfId="0" applyAlignment="1" applyBorder="1" applyFont="1">
      <alignment vertical="bottom"/>
    </xf>
    <xf borderId="8" fillId="7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shrinkToFit="0" vertical="bottom" wrapText="1"/>
    </xf>
    <xf borderId="7" fillId="0" fontId="3" numFmtId="9" xfId="0" applyAlignment="1" applyBorder="1" applyFont="1" applyNumberFormat="1">
      <alignment horizontal="left" shrinkToFit="0" vertical="bottom" wrapText="1"/>
    </xf>
    <xf borderId="8" fillId="7" fontId="3" numFmtId="164" xfId="0" applyAlignment="1" applyBorder="1" applyFont="1" applyNumberFormat="1">
      <alignment horizontal="right" shrinkToFit="0" vertical="bottom" wrapText="1"/>
    </xf>
    <xf borderId="6" fillId="7" fontId="3" numFmtId="164" xfId="0" applyAlignment="1" applyBorder="1" applyFont="1" applyNumberFormat="1">
      <alignment horizontal="right" shrinkToFit="0" vertical="bottom" wrapText="1"/>
    </xf>
    <xf borderId="6" fillId="11" fontId="3" numFmtId="0" xfId="0" applyAlignment="1" applyBorder="1" applyFont="1">
      <alignment horizontal="right" shrinkToFit="0" vertical="bottom" wrapText="1"/>
    </xf>
    <xf borderId="6" fillId="6" fontId="3" numFmtId="0" xfId="0" applyAlignment="1" applyBorder="1" applyFont="1">
      <alignment horizontal="right" shrinkToFit="0" vertical="bottom" wrapText="1"/>
    </xf>
    <xf borderId="6" fillId="0" fontId="3" numFmtId="9" xfId="0" applyAlignment="1" applyBorder="1" applyFont="1" applyNumberFormat="1">
      <alignment horizontal="right" shrinkToFit="0" vertical="bottom" wrapText="1"/>
    </xf>
    <xf borderId="8" fillId="0" fontId="3" numFmtId="164" xfId="0" applyAlignment="1" applyBorder="1" applyFont="1" applyNumberFormat="1">
      <alignment horizontal="right" vertical="bottom"/>
    </xf>
    <xf borderId="6" fillId="6" fontId="1" numFmtId="1" xfId="0" applyBorder="1" applyFont="1" applyNumberFormat="1"/>
    <xf borderId="6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4" fillId="10" fontId="3" numFmtId="0" xfId="0" applyAlignment="1" applyBorder="1" applyFont="1">
      <alignment horizontal="right" vertical="bottom"/>
    </xf>
    <xf borderId="2" fillId="10" fontId="3" numFmtId="0" xfId="0" applyAlignment="1" applyBorder="1" applyFont="1">
      <alignment vertical="bottom"/>
    </xf>
    <xf borderId="0" fillId="0" fontId="24" numFmtId="3" xfId="0" applyAlignment="1" applyFont="1" applyNumberFormat="1">
      <alignment vertical="bottom"/>
    </xf>
    <xf borderId="5" fillId="10" fontId="3" numFmtId="0" xfId="0" applyAlignment="1" applyBorder="1" applyFont="1">
      <alignment horizontal="right" vertical="bottom"/>
    </xf>
    <xf borderId="0" fillId="10" fontId="3" numFmtId="0" xfId="0" applyAlignment="1" applyFont="1">
      <alignment vertical="bottom"/>
    </xf>
    <xf borderId="0" fillId="0" fontId="25" numFmtId="164" xfId="0" applyAlignment="1" applyFont="1" applyNumberFormat="1">
      <alignment vertical="bottom"/>
    </xf>
    <xf borderId="0" fillId="10" fontId="1" numFmtId="0" xfId="0" applyFont="1"/>
    <xf borderId="7" fillId="10" fontId="3" numFmtId="0" xfId="0" applyAlignment="1" applyBorder="1" applyFont="1">
      <alignment horizontal="right" vertical="bottom"/>
    </xf>
    <xf borderId="8" fillId="10" fontId="3" numFmtId="164" xfId="0" applyAlignment="1" applyBorder="1" applyFont="1" applyNumberFormat="1">
      <alignment horizontal="right" vertical="bottom"/>
    </xf>
    <xf borderId="6" fillId="10" fontId="1" numFmtId="0" xfId="0" applyBorder="1" applyFont="1"/>
    <xf borderId="0" fillId="7" fontId="3" numFmtId="164" xfId="0" applyAlignment="1" applyFont="1" applyNumberFormat="1">
      <alignment vertical="bottom"/>
    </xf>
    <xf borderId="0" fillId="0" fontId="26" numFmtId="164" xfId="0" applyAlignment="1" applyFont="1" applyNumberFormat="1">
      <alignment vertical="bottom"/>
    </xf>
    <xf borderId="12" fillId="0" fontId="1" numFmtId="0" xfId="0" applyAlignment="1" applyBorder="1" applyFont="1">
      <alignment horizontal="right"/>
    </xf>
    <xf borderId="13" fillId="0" fontId="1" numFmtId="0" xfId="0" applyAlignment="1" applyBorder="1" applyFont="1">
      <alignment horizontal="right"/>
    </xf>
    <xf borderId="14" fillId="0" fontId="1" numFmtId="0" xfId="0" applyAlignment="1" applyBorder="1" applyFont="1">
      <alignment horizontal="right"/>
    </xf>
    <xf borderId="0" fillId="0" fontId="27" numFmtId="0" xfId="0" applyFont="1"/>
    <xf borderId="0" fillId="7" fontId="3" numFmtId="168" xfId="0" applyAlignment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bottom"/>
    </xf>
    <xf borderId="2" fillId="0" fontId="3" numFmtId="3" xfId="0" applyAlignment="1" applyBorder="1" applyFont="1" applyNumberFormat="1">
      <alignment horizontal="right" vertical="bottom"/>
    </xf>
    <xf borderId="2" fillId="0" fontId="3" numFmtId="3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12" fontId="1" numFmtId="0" xfId="0" applyFill="1" applyFont="1"/>
    <xf borderId="0" fillId="13" fontId="1" numFmtId="0" xfId="0" applyFill="1" applyFont="1"/>
    <xf borderId="0" fillId="14" fontId="1" numFmtId="0" xfId="0" applyFill="1" applyFont="1"/>
    <xf borderId="0" fillId="0" fontId="28" numFmtId="0" xfId="0" applyFont="1"/>
    <xf borderId="0" fillId="0" fontId="28" numFmtId="164" xfId="0" applyFont="1" applyNumberFormat="1"/>
    <xf borderId="0" fillId="12" fontId="1" numFmtId="164" xfId="0" applyFont="1" applyNumberFormat="1"/>
    <xf borderId="0" fillId="13" fontId="1" numFmtId="0" xfId="0" applyAlignment="1" applyFont="1">
      <alignment horizontal="center"/>
    </xf>
    <xf borderId="0" fillId="14" fontId="1" numFmtId="0" xfId="0" applyAlignment="1" applyFont="1">
      <alignment horizontal="center"/>
    </xf>
    <xf borderId="0" fillId="13" fontId="1" numFmtId="164" xfId="0" applyFont="1" applyNumberFormat="1"/>
    <xf borderId="0" fillId="14" fontId="1" numFmtId="164" xfId="0" applyFont="1" applyNumberFormat="1"/>
    <xf borderId="0" fillId="12" fontId="3" numFmtId="164" xfId="0" applyAlignment="1" applyFont="1" applyNumberFormat="1">
      <alignment horizontal="right" vertical="bottom"/>
    </xf>
    <xf borderId="0" fillId="13" fontId="3" numFmtId="164" xfId="0" applyAlignment="1" applyFont="1" applyNumberFormat="1">
      <alignment horizontal="center" vertical="bottom"/>
    </xf>
    <xf borderId="0" fillId="14" fontId="3" numFmtId="164" xfId="0" applyAlignment="1" applyFont="1" applyNumberFormat="1">
      <alignment horizontal="center" vertical="bottom"/>
    </xf>
    <xf borderId="0" fillId="13" fontId="3" numFmtId="164" xfId="0" applyAlignment="1" applyFont="1" applyNumberFormat="1">
      <alignment horizontal="right" vertical="bottom"/>
    </xf>
    <xf borderId="0" fillId="14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Added Annual Electricity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'LT Heat Pumps'!$D$12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'LT Heat Pumps'!$B$13:$B$18</c:f>
            </c:strRef>
          </c:cat>
          <c:val>
            <c:numRef>
              <c:f>'LT Heat Pumps'!$D$13:$D$18</c:f>
              <c:numCache/>
            </c:numRef>
          </c:val>
        </c:ser>
        <c:axId val="1059836847"/>
        <c:axId val="488855651"/>
      </c:barChart>
      <c:catAx>
        <c:axId val="105983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8855651"/>
      </c:catAx>
      <c:valAx>
        <c:axId val="488855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Added Annual Electricity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598368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Added Life Cycle Cost for Full Cost, 25-year Electric Boiler Scenarios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'LT Heat Pumps'!$C$20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'LT Heat Pumps'!$B$21:$B$24</c:f>
            </c:strRef>
          </c:cat>
          <c:val>
            <c:numRef>
              <c:f>'LT Heat Pumps'!$C$21:$C$24</c:f>
              <c:numCache/>
            </c:numRef>
          </c:val>
        </c:ser>
        <c:axId val="1089370418"/>
        <c:axId val="2140426497"/>
      </c:barChart>
      <c:catAx>
        <c:axId val="1089370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40426497"/>
      </c:catAx>
      <c:valAx>
        <c:axId val="2140426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Added Life Cycle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937041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Added Life Cycle Cost for NPV, 10-year Electric Boiler Scenarios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'LT Heat Pumps'!$C$26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'LT Heat Pumps'!$B$27:$B$30</c:f>
            </c:strRef>
          </c:cat>
          <c:val>
            <c:numRef>
              <c:f>'LT Heat Pumps'!$C$27:$C$30</c:f>
              <c:numCache/>
            </c:numRef>
          </c:val>
        </c:ser>
        <c:axId val="1752466182"/>
        <c:axId val="1754288948"/>
      </c:barChart>
      <c:catAx>
        <c:axId val="1752466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4288948"/>
      </c:catAx>
      <c:valAx>
        <c:axId val="1754288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Added Life Cycle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246618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Added Life Cycle Cost for Full Cost, 25-year Electric Boiler Scenarios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'LT Heat Pumps'!$F$20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'LT Heat Pumps'!$B$21:$B$24</c:f>
            </c:strRef>
          </c:cat>
          <c:val>
            <c:numRef>
              <c:f>'LT Heat Pumps'!$F$21:$F$24</c:f>
              <c:numCache/>
            </c:numRef>
          </c:val>
        </c:ser>
        <c:axId val="1205396600"/>
        <c:axId val="1449369186"/>
      </c:barChart>
      <c:catAx>
        <c:axId val="1205396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9369186"/>
      </c:catAx>
      <c:valAx>
        <c:axId val="1449369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Life Cycle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53966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Added Life Cycle Cost for Full Cost, 25-year Electric Boiler Scenarios</a:t>
            </a:r>
          </a:p>
        </c:rich>
      </c:tx>
      <c:layout>
        <c:manualLayout>
          <c:xMode val="edge"/>
          <c:yMode val="edge"/>
          <c:x val="0.029249999999999988"/>
          <c:y val="0.055390835579514824"/>
        </c:manualLayout>
      </c:layout>
      <c:overlay val="0"/>
    </c:title>
    <c:plotArea>
      <c:layout>
        <c:manualLayout>
          <c:xMode val="edge"/>
          <c:yMode val="edge"/>
          <c:x val="0.18416666666666667"/>
          <c:y val="0.18528825403523316"/>
          <c:w val="0.7849166666666667"/>
          <c:h val="0.7161942257491333"/>
        </c:manualLayout>
      </c:layout>
      <c:barChart>
        <c:barDir val="col"/>
        <c:ser>
          <c:idx val="0"/>
          <c:order val="0"/>
          <c:tx>
            <c:strRef>
              <c:f>'Electric Boiler'!$C$18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'Electric Boiler'!$B$19:$B$21</c:f>
            </c:strRef>
          </c:cat>
          <c:val>
            <c:numRef>
              <c:f>'Electric Boiler'!$C$19:$C$21</c:f>
              <c:numCache/>
            </c:numRef>
          </c:val>
        </c:ser>
        <c:axId val="216527518"/>
        <c:axId val="110080895"/>
      </c:barChart>
      <c:catAx>
        <c:axId val="216527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080895"/>
      </c:catAx>
      <c:valAx>
        <c:axId val="110080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Added Life Cycle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652751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Added Life Cycle Cost for NPV, 10-year Electric Boiler Scenarios</a:t>
            </a:r>
          </a:p>
        </c:rich>
      </c:tx>
      <c:layout>
        <c:manualLayout>
          <c:xMode val="edge"/>
          <c:yMode val="edge"/>
          <c:x val="0.027583333333333317"/>
          <c:y val="0.04730458221024259"/>
        </c:manualLayout>
      </c:layout>
      <c:overlay val="0"/>
    </c:title>
    <c:plotArea>
      <c:layout>
        <c:manualLayout>
          <c:xMode val="edge"/>
          <c:yMode val="edge"/>
          <c:x val="0.19583333333333333"/>
          <c:y val="0.17365014478916496"/>
          <c:w val="0.7732500000000001"/>
          <c:h val="0.7278323349952014"/>
        </c:manualLayout>
      </c:layout>
      <c:barChart>
        <c:barDir val="col"/>
        <c:ser>
          <c:idx val="0"/>
          <c:order val="0"/>
          <c:tx>
            <c:strRef>
              <c:f>'Electric Boiler'!$C$23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'Electric Boiler'!$B$24:$B$26</c:f>
            </c:strRef>
          </c:cat>
          <c:val>
            <c:numRef>
              <c:f>'Electric Boiler'!$C$24:$C$26</c:f>
              <c:numCache/>
            </c:numRef>
          </c:val>
        </c:ser>
        <c:axId val="50076168"/>
        <c:axId val="1868376790"/>
      </c:barChart>
      <c:catAx>
        <c:axId val="50076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68376790"/>
      </c:catAx>
      <c:valAx>
        <c:axId val="1868376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Added Life Cycle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07616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Added Annual Electricity Costs</a:t>
            </a:r>
          </a:p>
        </c:rich>
      </c:tx>
      <c:layout>
        <c:manualLayout>
          <c:xMode val="edge"/>
          <c:yMode val="edge"/>
          <c:x val="0.29925"/>
          <c:y val="0.041913746630727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'Electric Boiler'!$D$11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'Electric Boiler'!$B$12:$B$16</c:f>
            </c:strRef>
          </c:cat>
          <c:val>
            <c:numRef>
              <c:f>'Electric Boiler'!$D$12:$D$16</c:f>
              <c:numCache/>
            </c:numRef>
          </c:val>
        </c:ser>
        <c:axId val="1564146634"/>
        <c:axId val="359518155"/>
      </c:barChart>
      <c:catAx>
        <c:axId val="1564146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59518155"/>
      </c:catAx>
      <c:valAx>
        <c:axId val="359518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Added Annual Electricity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414663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LT-ASHP Life Cycle Savings vs. Electricity Escalation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'LTHP Escalation Rate sensitivit'!$B$27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circle"/>
              <c:size val="7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cat>
            <c:strRef>
              <c:f>'LTHP Escalation Rate sensitivit'!$A$28:$A$34</c:f>
            </c:strRef>
          </c:cat>
          <c:val>
            <c:numRef>
              <c:f>'LTHP Escalation Rate sensitivit'!$B$28:$B$34</c:f>
              <c:numCache/>
            </c:numRef>
          </c:val>
          <c:smooth val="0"/>
        </c:ser>
        <c:ser>
          <c:idx val="1"/>
          <c:order val="1"/>
          <c:tx>
            <c:strRef>
              <c:f>'LTHP Escalation Rate sensitivit'!$C$27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'LTHP Escalation Rate sensitivit'!$A$28:$A$34</c:f>
            </c:strRef>
          </c:cat>
          <c:val>
            <c:numRef>
              <c:f>'LTHP Escalation Rate sensitivit'!$C$28:$C$33</c:f>
              <c:numCache/>
            </c:numRef>
          </c:val>
          <c:smooth val="0"/>
        </c:ser>
        <c:ser>
          <c:idx val="2"/>
          <c:order val="2"/>
          <c:tx>
            <c:strRef>
              <c:f>'LTHP Escalation Rate sensitivit'!$D$27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'LTHP Escalation Rate sensitivit'!$A$28:$A$34</c:f>
            </c:strRef>
          </c:cat>
          <c:val>
            <c:numRef>
              <c:f>'LTHP Escalation Rate sensitivit'!$D$28:$D$33</c:f>
              <c:numCache/>
            </c:numRef>
          </c:val>
          <c:smooth val="0"/>
        </c:ser>
        <c:axId val="1858695407"/>
        <c:axId val="1511834926"/>
      </c:lineChart>
      <c:catAx>
        <c:axId val="1858695407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Electricity cost escalation rate, nominal (%/year)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1834926"/>
      </c:catAx>
      <c:valAx>
        <c:axId val="1511834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Potential Life Cycle Savings (25-year)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586954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LT-ASHP Life Cycle Costs vs. Electricity Escalation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'LTHP Escalation Rate sensitivit'!$B$35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circle"/>
              <c:size val="7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cat>
            <c:strRef>
              <c:f>'LTHP Escalation Rate sensitivit'!$A$28:$A$34</c:f>
            </c:strRef>
          </c:cat>
          <c:val>
            <c:numRef>
              <c:f>'LTHP Escalation Rate sensitivit'!$B$36:$B$41</c:f>
              <c:numCache/>
            </c:numRef>
          </c:val>
          <c:smooth val="0"/>
        </c:ser>
        <c:ser>
          <c:idx val="1"/>
          <c:order val="1"/>
          <c:tx>
            <c:strRef>
              <c:f>'LTHP Escalation Rate sensitivit'!$C$35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'LTHP Escalation Rate sensitivit'!$A$28:$A$34</c:f>
            </c:strRef>
          </c:cat>
          <c:val>
            <c:numRef>
              <c:f>'LTHP Escalation Rate sensitivit'!$C$36:$C$41</c:f>
              <c:numCache/>
            </c:numRef>
          </c:val>
          <c:smooth val="0"/>
        </c:ser>
        <c:ser>
          <c:idx val="2"/>
          <c:order val="2"/>
          <c:tx>
            <c:strRef>
              <c:f>'LTHP Escalation Rate sensitivit'!$D$35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'LTHP Escalation Rate sensitivit'!$A$28:$A$34</c:f>
            </c:strRef>
          </c:cat>
          <c:val>
            <c:numRef>
              <c:f>'LTHP Escalation Rate sensitivit'!$D$36:$D$41</c:f>
              <c:numCache/>
            </c:numRef>
          </c:val>
          <c:smooth val="0"/>
        </c:ser>
        <c:axId val="1421067999"/>
        <c:axId val="1329104876"/>
      </c:lineChart>
      <c:catAx>
        <c:axId val="1421067999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Electricity cost escalation rate, nominal (%/year)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29104876"/>
      </c:catAx>
      <c:valAx>
        <c:axId val="1329104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Life Cycle Costs (25-year)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210679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LT-ASHP Optimized PV Size vs. Electricity Escalation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'LTHP Escalation Rate sensitivit'!$B$43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circle"/>
              <c:size val="7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cat>
            <c:strRef>
              <c:f>'LTHP Escalation Rate sensitivit'!$A$28:$A$34</c:f>
            </c:strRef>
          </c:cat>
          <c:val>
            <c:numRef>
              <c:f>'LTHP Escalation Rate sensitivit'!$B$44:$B$49</c:f>
              <c:numCache/>
            </c:numRef>
          </c:val>
          <c:smooth val="0"/>
        </c:ser>
        <c:ser>
          <c:idx val="1"/>
          <c:order val="1"/>
          <c:tx>
            <c:strRef>
              <c:f>'LTHP Escalation Rate sensitivit'!$C$43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'LTHP Escalation Rate sensitivit'!$A$28:$A$34</c:f>
            </c:strRef>
          </c:cat>
          <c:val>
            <c:numRef>
              <c:f>'LTHP Escalation Rate sensitivit'!$C$44:$C$49</c:f>
              <c:numCache/>
            </c:numRef>
          </c:val>
          <c:smooth val="0"/>
        </c:ser>
        <c:axId val="905773229"/>
        <c:axId val="1822862479"/>
      </c:lineChart>
      <c:catAx>
        <c:axId val="905773229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Electricity cost escalation rate, nominal (%/year)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22862479"/>
      </c:catAx>
      <c:valAx>
        <c:axId val="182286247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Optimized PV size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577322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LT-ASHP Life Cycle Savings vs. Propane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'LTHP Escalation Rate sensitivit'!$B$78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circle"/>
              <c:size val="7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cat>
            <c:strRef>
              <c:f>'LTHP Escalation Rate sensitivit'!$A$79:$A$84</c:f>
            </c:strRef>
          </c:cat>
          <c:val>
            <c:numRef>
              <c:f>'LTHP Escalation Rate sensitivit'!$B$79:$B$84</c:f>
              <c:numCache/>
            </c:numRef>
          </c:val>
          <c:smooth val="0"/>
        </c:ser>
        <c:ser>
          <c:idx val="1"/>
          <c:order val="1"/>
          <c:tx>
            <c:strRef>
              <c:f>'LTHP Escalation Rate sensitivit'!$C$78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'LTHP Escalation Rate sensitivit'!$A$79:$A$84</c:f>
            </c:strRef>
          </c:cat>
          <c:val>
            <c:numRef>
              <c:f>'LTHP Escalation Rate sensitivit'!$C$79:$C$84</c:f>
              <c:numCache/>
            </c:numRef>
          </c:val>
          <c:smooth val="0"/>
        </c:ser>
        <c:ser>
          <c:idx val="2"/>
          <c:order val="2"/>
          <c:tx>
            <c:strRef>
              <c:f>'LTHP Escalation Rate sensitivit'!$D$78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'LTHP Escalation Rate sensitivit'!$A$79:$A$84</c:f>
            </c:strRef>
          </c:cat>
          <c:val>
            <c:numRef>
              <c:f>'LTHP Escalation Rate sensitivit'!$D$79:$D$84</c:f>
              <c:numCache/>
            </c:numRef>
          </c:val>
          <c:smooth val="0"/>
        </c:ser>
        <c:axId val="1642580066"/>
        <c:axId val="1443288742"/>
      </c:lineChart>
      <c:catAx>
        <c:axId val="1642580066"/>
        <c:scaling>
          <c:orientation val="minMax"/>
          <c:min val="1.5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Annual existing heating system fuel cost ($/gallon)</a:t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3288742"/>
      </c:catAx>
      <c:valAx>
        <c:axId val="14432887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Potential Life Cycle Savings (25-year)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25800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1800225</xdr:colOff>
      <xdr:row>15</xdr:row>
      <xdr:rowOff>238125</xdr:rowOff>
    </xdr:from>
    <xdr:ext cx="5715000" cy="3533775"/>
    <xdr:graphicFrame>
      <xdr:nvGraphicFramePr>
        <xdr:cNvPr id="42275176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523875</xdr:colOff>
      <xdr:row>33</xdr:row>
      <xdr:rowOff>28575</xdr:rowOff>
    </xdr:from>
    <xdr:ext cx="5715000" cy="3533775"/>
    <xdr:graphicFrame>
      <xdr:nvGraphicFramePr>
        <xdr:cNvPr id="58195330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581025</xdr:colOff>
      <xdr:row>32</xdr:row>
      <xdr:rowOff>161925</xdr:rowOff>
    </xdr:from>
    <xdr:ext cx="5715000" cy="3533775"/>
    <xdr:graphicFrame>
      <xdr:nvGraphicFramePr>
        <xdr:cNvPr id="104924705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285750</xdr:colOff>
      <xdr:row>15</xdr:row>
      <xdr:rowOff>238125</xdr:rowOff>
    </xdr:from>
    <xdr:ext cx="5715000" cy="3533775"/>
    <xdr:graphicFrame>
      <xdr:nvGraphicFramePr>
        <xdr:cNvPr id="1193071392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7</xdr:row>
      <xdr:rowOff>95250</xdr:rowOff>
    </xdr:from>
    <xdr:ext cx="5715000" cy="3533775"/>
    <xdr:graphicFrame>
      <xdr:nvGraphicFramePr>
        <xdr:cNvPr id="124457252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295275</xdr:colOff>
      <xdr:row>23</xdr:row>
      <xdr:rowOff>104775</xdr:rowOff>
    </xdr:from>
    <xdr:ext cx="5715000" cy="3533775"/>
    <xdr:graphicFrame>
      <xdr:nvGraphicFramePr>
        <xdr:cNvPr id="1777825635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647700</xdr:colOff>
      <xdr:row>27</xdr:row>
      <xdr:rowOff>85725</xdr:rowOff>
    </xdr:from>
    <xdr:ext cx="5715000" cy="3533775"/>
    <xdr:graphicFrame>
      <xdr:nvGraphicFramePr>
        <xdr:cNvPr id="2128128559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923925</xdr:colOff>
      <xdr:row>21</xdr:row>
      <xdr:rowOff>76200</xdr:rowOff>
    </xdr:from>
    <xdr:ext cx="5715000" cy="3533775"/>
    <xdr:graphicFrame>
      <xdr:nvGraphicFramePr>
        <xdr:cNvPr id="680299015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1238250</xdr:colOff>
      <xdr:row>21</xdr:row>
      <xdr:rowOff>76200</xdr:rowOff>
    </xdr:from>
    <xdr:ext cx="5715000" cy="3533775"/>
    <xdr:graphicFrame>
      <xdr:nvGraphicFramePr>
        <xdr:cNvPr id="1512762585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352425</xdr:colOff>
      <xdr:row>33</xdr:row>
      <xdr:rowOff>95250</xdr:rowOff>
    </xdr:from>
    <xdr:ext cx="5715000" cy="3533775"/>
    <xdr:graphicFrame>
      <xdr:nvGraphicFramePr>
        <xdr:cNvPr id="85708577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923925</xdr:colOff>
      <xdr:row>82</xdr:row>
      <xdr:rowOff>76200</xdr:rowOff>
    </xdr:from>
    <xdr:ext cx="5715000" cy="3533775"/>
    <xdr:graphicFrame>
      <xdr:nvGraphicFramePr>
        <xdr:cNvPr id="1999738984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95250</xdr:rowOff>
    </xdr:from>
    <xdr:ext cx="59340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2</xdr:row>
      <xdr:rowOff>95250</xdr:rowOff>
    </xdr:from>
    <xdr:ext cx="6172200" cy="42481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7915275" cy="2809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2MjGV739OVxdOUym7sn516wQM4dv51MR/view?usp=drive_link" TargetMode="External"/><Relationship Id="rId10" Type="http://schemas.openxmlformats.org/officeDocument/2006/relationships/hyperlink" Target="https://drive.google.com/file/d/1Xl5WOtWsJzfbC-Y8nCxkp4Y4Mozirc_L/view?usp=drive_link" TargetMode="External"/><Relationship Id="rId13" Type="http://schemas.openxmlformats.org/officeDocument/2006/relationships/hyperlink" Target="https://reopt.nlr.gov/tool/results/f337df12-986f-4627-be1f-a92d1a7c8060" TargetMode="External"/><Relationship Id="rId12" Type="http://schemas.openxmlformats.org/officeDocument/2006/relationships/hyperlink" Target="https://reopt.nlr.gov/tool/results/fd53a78c-8158-4cbf-92f3-68a63c82db2a" TargetMode="External"/><Relationship Id="rId1" Type="http://schemas.openxmlformats.org/officeDocument/2006/relationships/hyperlink" Target="https://reopt.nlr.gov/tool/results/26277aea-a238-4007-9e04-e252622f59bb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reopt.nlr.gov/tool/results/26277aea-a238-4007-9e04-e252622f59bb" TargetMode="External"/><Relationship Id="rId9" Type="http://schemas.openxmlformats.org/officeDocument/2006/relationships/hyperlink" Target="https://reopt.nlr.gov/tool/results/fd53a78c-8158-4cbf-92f3-68a63c82db2a" TargetMode="External"/><Relationship Id="rId15" Type="http://schemas.openxmlformats.org/officeDocument/2006/relationships/hyperlink" Target="https://drive.google.com/file/d/12MjGV739OVxdOUym7sn516wQM4dv51MR/view?usp=drive_link" TargetMode="External"/><Relationship Id="rId14" Type="http://schemas.openxmlformats.org/officeDocument/2006/relationships/hyperlink" Target="https://drive.google.com/file/d/1Xl5WOtWsJzfbC-Y8nCxkp4Y4Mozirc_L/view?usp=drive_li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reopt.nlr.gov/tool/results/f337df12-986f-4627-be1f-a92d1a7c8060" TargetMode="External"/><Relationship Id="rId5" Type="http://schemas.openxmlformats.org/officeDocument/2006/relationships/hyperlink" Target="https://reopt.nlr.gov/tool/results/021872ef-87cc-4042-beb2-11b618ea73d8" TargetMode="External"/><Relationship Id="rId6" Type="http://schemas.openxmlformats.org/officeDocument/2006/relationships/hyperlink" Target="https://drive.google.com/file/d/1Xl5WOtWsJzfbC-Y8nCxkp4Y4Mozirc_L/view?usp=drive_link" TargetMode="External"/><Relationship Id="rId7" Type="http://schemas.openxmlformats.org/officeDocument/2006/relationships/hyperlink" Target="https://drive.google.com/file/d/12MjGV739OVxdOUym7sn516wQM4dv51MR/view?usp=drive_link" TargetMode="External"/><Relationship Id="rId8" Type="http://schemas.openxmlformats.org/officeDocument/2006/relationships/hyperlink" Target="https://reopt.nlr.gov/tool/results/021872ef-87cc-4042-beb2-11b618ea73d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eopt.nlr.gov/tool/results/661e61ff-a967-4155-9999-47b834c75b34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07970d7c-f67e-440f-b72c-2274e2b9f4ec" TargetMode="External"/><Relationship Id="rId24" Type="http://schemas.openxmlformats.org/officeDocument/2006/relationships/hyperlink" Target="https://drive.google.com/file/d/1jrpu40DzxTFYY6LiD8LJLWmYTYBMVds2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1" Type="http://schemas.openxmlformats.org/officeDocument/2006/relationships/hyperlink" Target="https://reopt.nlr.gov/tool/results/b5d3b750-0e04-47ad-8361-707b4c74c85c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jrpu40DzxTFYY6LiD8LJLWmYTYBMVds2/view?usp=drive_link" TargetMode="External"/><Relationship Id="rId9" Type="http://schemas.openxmlformats.org/officeDocument/2006/relationships/hyperlink" Target="https://drive.google.com/file/d/1jrpu40DzxTFYY6LiD8LJLWmYTYBMVds2/view?usp=drive_link" TargetMode="External"/><Relationship Id="rId26" Type="http://schemas.openxmlformats.org/officeDocument/2006/relationships/hyperlink" Target="https://reopt.nlr.gov/tool/results/6ea1f810-bb50-4212-95e1-7a4930a242b3" TargetMode="External"/><Relationship Id="rId25" Type="http://schemas.openxmlformats.org/officeDocument/2006/relationships/hyperlink" Target="https://reopt.nlr.gov/tool/results/07970d7c-f67e-440f-b72c-2274e2b9f4ec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5" Type="http://schemas.openxmlformats.org/officeDocument/2006/relationships/hyperlink" Target="https://reopt.nlr.gov/tool/results/b5d3b750-0e04-47ad-8361-707b4c74c85c" TargetMode="External"/><Relationship Id="rId6" Type="http://schemas.openxmlformats.org/officeDocument/2006/relationships/hyperlink" Target="https://reopt.nlr.gov/tool/results/1d87710b-df15-4002-a496-fb5c26eb326b" TargetMode="External"/><Relationship Id="rId29" Type="http://schemas.openxmlformats.org/officeDocument/2006/relationships/hyperlink" Target="https://drive.google.com/file/d/1jrpu40DzxTFYY6LiD8LJLWmYTYBMVds2/view?usp=drive_link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reopt.nlr.gov/tool/results/6ea1f810-bb50-4212-95e1-7a4930a242b3" TargetMode="External"/><Relationship Id="rId11" Type="http://schemas.openxmlformats.org/officeDocument/2006/relationships/hyperlink" Target="https://reopt.nlr.gov/tool/results/b634677f-9028-4b2f-8296-07901eab608e" TargetMode="External"/><Relationship Id="rId10" Type="http://schemas.openxmlformats.org/officeDocument/2006/relationships/hyperlink" Target="https://reopt.nlr.gov/tool/results/1d87710b-df15-4002-a496-fb5c26eb326b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15" Type="http://schemas.openxmlformats.org/officeDocument/2006/relationships/hyperlink" Target="https://reopt.nlr.gov/tool/results/b634677f-9028-4b2f-8296-07901eab608e" TargetMode="External"/><Relationship Id="rId14" Type="http://schemas.openxmlformats.org/officeDocument/2006/relationships/hyperlink" Target="https://drive.google.com/file/d/1jrpu40DzxTFYY6LiD8LJLWmYTYBMVds2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661e61ff-a967-4155-9999-47b834c75b34" TargetMode="External"/><Relationship Id="rId19" Type="http://schemas.openxmlformats.org/officeDocument/2006/relationships/hyperlink" Target="https://drive.google.com/file/d/1jrpu40DzxTFYY6LiD8LJLWmYTYBMVds2/view?usp=drive_link" TargetMode="External"/><Relationship Id="rId18" Type="http://schemas.openxmlformats.org/officeDocument/2006/relationships/hyperlink" Target="https://drive.google.com/file/d/12MjGV739OVxdOUym7sn516wQM4dv51MR/view?usp=drive_link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reopt.nlr.gov/tool/results/eef28186-3aaf-4ae3-8697-ff102fcfe381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9521dece-7bb9-4b41-b9b3-e9669b7a05dc" TargetMode="External"/><Relationship Id="rId24" Type="http://schemas.openxmlformats.org/officeDocument/2006/relationships/hyperlink" Target="https://drive.google.com/file/d/16UAUdtQOC8qioWbnM096MsZ4fLvZ1Viy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1" Type="http://schemas.openxmlformats.org/officeDocument/2006/relationships/hyperlink" Target="https://reopt.nlr.gov/tool/results/d1907c95-b589-4f7a-ba5a-8d30acefc477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6UAUdtQOC8qioWbnM096MsZ4fLvZ1Viy/view?usp=drive_link" TargetMode="External"/><Relationship Id="rId9" Type="http://schemas.openxmlformats.org/officeDocument/2006/relationships/hyperlink" Target="https://drive.google.com/file/d/16UAUdtQOC8qioWbnM096MsZ4fLvZ1Viy/view?usp=drive_link" TargetMode="External"/><Relationship Id="rId26" Type="http://schemas.openxmlformats.org/officeDocument/2006/relationships/hyperlink" Target="https://reopt.nlr.gov/tool/results/8ec295f3-549d-452b-a592-9cb0c847129b" TargetMode="External"/><Relationship Id="rId25" Type="http://schemas.openxmlformats.org/officeDocument/2006/relationships/hyperlink" Target="https://reopt.nlr.gov/tool/results/9521dece-7bb9-4b41-b9b3-e9669b7a05dc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5" Type="http://schemas.openxmlformats.org/officeDocument/2006/relationships/hyperlink" Target="https://reopt.nlr.gov/tool/results/d1907c95-b589-4f7a-ba5a-8d30acefc477" TargetMode="External"/><Relationship Id="rId6" Type="http://schemas.openxmlformats.org/officeDocument/2006/relationships/hyperlink" Target="https://reopt.nlr.gov/tool/results/a52ee9d0-2946-4d3c-9d6a-95a8722528e7" TargetMode="External"/><Relationship Id="rId29" Type="http://schemas.openxmlformats.org/officeDocument/2006/relationships/hyperlink" Target="https://drive.google.com/file/d/16UAUdtQOC8qioWbnM096MsZ4fLvZ1Viy/view?usp=drive_link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reopt.nlr.gov/tool/results/8ec295f3-549d-452b-a592-9cb0c847129b" TargetMode="External"/><Relationship Id="rId11" Type="http://schemas.openxmlformats.org/officeDocument/2006/relationships/hyperlink" Target="https://reopt.nlr.gov/tool/results/35343875-3fd0-41d5-91b7-d1399bf17393" TargetMode="External"/><Relationship Id="rId10" Type="http://schemas.openxmlformats.org/officeDocument/2006/relationships/hyperlink" Target="https://reopt.nlr.gov/tool/results/a52ee9d0-2946-4d3c-9d6a-95a8722528e7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15" Type="http://schemas.openxmlformats.org/officeDocument/2006/relationships/hyperlink" Target="https://reopt.nlr.gov/tool/results/35343875-3fd0-41d5-91b7-d1399bf17393" TargetMode="External"/><Relationship Id="rId14" Type="http://schemas.openxmlformats.org/officeDocument/2006/relationships/hyperlink" Target="https://drive.google.com/file/d/16UAUdtQOC8qioWbnM096MsZ4fLvZ1Viy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eef28186-3aaf-4ae3-8697-ff102fcfe381" TargetMode="External"/><Relationship Id="rId19" Type="http://schemas.openxmlformats.org/officeDocument/2006/relationships/hyperlink" Target="https://drive.google.com/file/d/16UAUdtQOC8qioWbnM096MsZ4fLvZ1Viy/view?usp=drive_link" TargetMode="External"/><Relationship Id="rId18" Type="http://schemas.openxmlformats.org/officeDocument/2006/relationships/hyperlink" Target="https://drive.google.com/file/d/12MjGV739OVxdOUym7sn516wQM4dv51MR/view?usp=drive_link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reopt.nlr.gov/tool/results/45f6eb46-858e-41a1-a8e8-65b4ac2e1278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7a0f6cc4-27bd-4e19-aede-428d36496624" TargetMode="External"/><Relationship Id="rId24" Type="http://schemas.openxmlformats.org/officeDocument/2006/relationships/hyperlink" Target="https://drive.google.com/file/d/1ierMR5pp-9e4Oh1RndrdR-TIpi-DdJ91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1" Type="http://schemas.openxmlformats.org/officeDocument/2006/relationships/hyperlink" Target="https://reopt.nlr.gov/tool/results/84c0ed5c-c787-45f3-b41d-80815ea5c18e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ierMR5pp-9e4Oh1RndrdR-TIpi-DdJ91/view?usp=drive_link" TargetMode="External"/><Relationship Id="rId9" Type="http://schemas.openxmlformats.org/officeDocument/2006/relationships/hyperlink" Target="https://drive.google.com/file/d/1ierMR5pp-9e4Oh1RndrdR-TIpi-DdJ91/view?usp=drive_link" TargetMode="External"/><Relationship Id="rId26" Type="http://schemas.openxmlformats.org/officeDocument/2006/relationships/hyperlink" Target="https://reopt.nlr.gov/tool/results/37155654-c664-4d9d-9920-e3aa952922b9" TargetMode="External"/><Relationship Id="rId25" Type="http://schemas.openxmlformats.org/officeDocument/2006/relationships/hyperlink" Target="https://reopt.nlr.gov/tool/results/7a0f6cc4-27bd-4e19-aede-428d36496624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5" Type="http://schemas.openxmlformats.org/officeDocument/2006/relationships/hyperlink" Target="https://reopt.nlr.gov/tool/results/84c0ed5c-c787-45f3-b41d-80815ea5c18e" TargetMode="External"/><Relationship Id="rId6" Type="http://schemas.openxmlformats.org/officeDocument/2006/relationships/hyperlink" Target="https://reopt.nlr.gov/tool/results/d3c6a060-d715-4705-a7da-836bd0679de8" TargetMode="External"/><Relationship Id="rId29" Type="http://schemas.openxmlformats.org/officeDocument/2006/relationships/hyperlink" Target="https://drive.google.com/file/d/1ierMR5pp-9e4Oh1RndrdR-TIpi-DdJ91/view?usp=drive_link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reopt.nlr.gov/tool/results/37155654-c664-4d9d-9920-e3aa952922b9" TargetMode="External"/><Relationship Id="rId11" Type="http://schemas.openxmlformats.org/officeDocument/2006/relationships/hyperlink" Target="https://reopt.nlr.gov/tool/results/6831ecce-79ce-46ee-9c4c-2965f5ae8de1" TargetMode="External"/><Relationship Id="rId10" Type="http://schemas.openxmlformats.org/officeDocument/2006/relationships/hyperlink" Target="https://reopt.nlr.gov/tool/results/d3c6a060-d715-4705-a7da-836bd0679de8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15" Type="http://schemas.openxmlformats.org/officeDocument/2006/relationships/hyperlink" Target="https://reopt.nlr.gov/tool/results/6831ecce-79ce-46ee-9c4c-2965f5ae8de1" TargetMode="External"/><Relationship Id="rId14" Type="http://schemas.openxmlformats.org/officeDocument/2006/relationships/hyperlink" Target="https://drive.google.com/file/d/1ierMR5pp-9e4Oh1RndrdR-TIpi-DdJ91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45f6eb46-858e-41a1-a8e8-65b4ac2e1278" TargetMode="External"/><Relationship Id="rId19" Type="http://schemas.openxmlformats.org/officeDocument/2006/relationships/hyperlink" Target="https://drive.google.com/file/d/1ierMR5pp-9e4Oh1RndrdR-TIpi-DdJ91/view?usp=drive_link" TargetMode="External"/><Relationship Id="rId18" Type="http://schemas.openxmlformats.org/officeDocument/2006/relationships/hyperlink" Target="https://drive.google.com/file/d/12MjGV739OVxdOUym7sn516wQM4dv51MR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reopt.nlr.gov/tool/results/2e5beb0c-e507-4f41-920d-edee6ced9247" TargetMode="External"/><Relationship Id="rId42" Type="http://schemas.openxmlformats.org/officeDocument/2006/relationships/hyperlink" Target="https://drive.google.com/file/d/1Xl5WOtWsJzfbC-Y8nCxkp4Y4Mozirc_L/view?usp=drive_link" TargetMode="External"/><Relationship Id="rId41" Type="http://schemas.openxmlformats.org/officeDocument/2006/relationships/hyperlink" Target="https://reopt.nlr.gov/tool/results/5efd8575-cfd0-42df-a2a7-e04a3378c6f1" TargetMode="External"/><Relationship Id="rId44" Type="http://schemas.openxmlformats.org/officeDocument/2006/relationships/hyperlink" Target="https://drive.google.com/file/d/1jrpu40DzxTFYY6LiD8LJLWmYTYBMVds2/view?usp=drive_link" TargetMode="External"/><Relationship Id="rId43" Type="http://schemas.openxmlformats.org/officeDocument/2006/relationships/hyperlink" Target="https://drive.google.com/file/d/12MjGV739OVxdOUym7sn516wQM4dv51MR/view?usp=drive_link" TargetMode="External"/><Relationship Id="rId46" Type="http://schemas.openxmlformats.org/officeDocument/2006/relationships/hyperlink" Target="https://reopt.nlr.gov/tool/results/b2e5cef2-9c67-41d4-8f2e-674f720ff74a" TargetMode="External"/><Relationship Id="rId45" Type="http://schemas.openxmlformats.org/officeDocument/2006/relationships/hyperlink" Target="https://reopt.nlr.gov/tool/results/5efd8575-cfd0-42df-a2a7-e04a3378c6f1" TargetMode="External"/><Relationship Id="rId1" Type="http://schemas.openxmlformats.org/officeDocument/2006/relationships/hyperlink" Target="https://reopt.nlr.gov/tool/results/4d54a380-635e-454c-b1b6-cebbb8acaa5d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jrpu40DzxTFYY6LiD8LJLWmYTYBMVds2/view?usp=drive_link" TargetMode="External"/><Relationship Id="rId9" Type="http://schemas.openxmlformats.org/officeDocument/2006/relationships/hyperlink" Target="https://drive.google.com/file/d/1jrpu40DzxTFYY6LiD8LJLWmYTYBMVds2/view?usp=drive_link" TargetMode="External"/><Relationship Id="rId48" Type="http://schemas.openxmlformats.org/officeDocument/2006/relationships/hyperlink" Target="https://drive.google.com/file/d/12MjGV739OVxdOUym7sn516wQM4dv51MR/view?usp=drive_link" TargetMode="External"/><Relationship Id="rId47" Type="http://schemas.openxmlformats.org/officeDocument/2006/relationships/hyperlink" Target="https://drive.google.com/file/d/1Xl5WOtWsJzfbC-Y8nCxkp4Y4Mozirc_L/view?usp=drive_link" TargetMode="External"/><Relationship Id="rId49" Type="http://schemas.openxmlformats.org/officeDocument/2006/relationships/hyperlink" Target="https://drive.google.com/file/d/1jrpu40DzxTFYY6LiD8LJLWmYTYBMVds2/view?usp=drive_link" TargetMode="External"/><Relationship Id="rId5" Type="http://schemas.openxmlformats.org/officeDocument/2006/relationships/hyperlink" Target="https://reopt.nlr.gov/tool/results/4d54a380-635e-454c-b1b6-cebbb8acaa5d" TargetMode="External"/><Relationship Id="rId6" Type="http://schemas.openxmlformats.org/officeDocument/2006/relationships/hyperlink" Target="https://reopt.nlr.gov/tool/results/bdc04319-3b55-46aa-ad92-a21b6e455dd9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31" Type="http://schemas.openxmlformats.org/officeDocument/2006/relationships/hyperlink" Target="https://reopt.nlr.gov/tool/results/13af9f7f-befa-4fe3-8372-75403497520c" TargetMode="External"/><Relationship Id="rId30" Type="http://schemas.openxmlformats.org/officeDocument/2006/relationships/hyperlink" Target="https://reopt.nlr.gov/tool/results/aa4574c6-1276-487d-832d-a44c6b480605" TargetMode="External"/><Relationship Id="rId33" Type="http://schemas.openxmlformats.org/officeDocument/2006/relationships/hyperlink" Target="https://drive.google.com/file/d/12MjGV739OVxdOUym7sn516wQM4dv51MR/view?usp=drive_link" TargetMode="External"/><Relationship Id="rId32" Type="http://schemas.openxmlformats.org/officeDocument/2006/relationships/hyperlink" Target="https://drive.google.com/file/d/1Xl5WOtWsJzfbC-Y8nCxkp4Y4Mozirc_L/view?usp=drive_link" TargetMode="External"/><Relationship Id="rId35" Type="http://schemas.openxmlformats.org/officeDocument/2006/relationships/hyperlink" Target="https://reopt.nlr.gov/tool/results/13af9f7f-befa-4fe3-8372-75403497520c" TargetMode="External"/><Relationship Id="rId34" Type="http://schemas.openxmlformats.org/officeDocument/2006/relationships/hyperlink" Target="https://drive.google.com/file/d/1jrpu40DzxTFYY6LiD8LJLWmYTYBMVds2/view?usp=drive_link" TargetMode="External"/><Relationship Id="rId37" Type="http://schemas.openxmlformats.org/officeDocument/2006/relationships/hyperlink" Target="https://drive.google.com/file/d/1Xl5WOtWsJzfbC-Y8nCxkp4Y4Mozirc_L/view?usp=drive_link" TargetMode="External"/><Relationship Id="rId36" Type="http://schemas.openxmlformats.org/officeDocument/2006/relationships/hyperlink" Target="https://reopt.nlr.gov/tool/results/2e5beb0c-e507-4f41-920d-edee6ced9247" TargetMode="External"/><Relationship Id="rId39" Type="http://schemas.openxmlformats.org/officeDocument/2006/relationships/hyperlink" Target="https://drive.google.com/file/d/1jrpu40DzxTFYY6LiD8LJLWmYTYBMVds2/view?usp=drive_link" TargetMode="External"/><Relationship Id="rId38" Type="http://schemas.openxmlformats.org/officeDocument/2006/relationships/hyperlink" Target="https://drive.google.com/file/d/12MjGV739OVxdOUym7sn516wQM4dv51MR/view?usp=drive_link" TargetMode="External"/><Relationship Id="rId61" Type="http://schemas.openxmlformats.org/officeDocument/2006/relationships/drawing" Target="../drawings/drawing5.xml"/><Relationship Id="rId20" Type="http://schemas.openxmlformats.org/officeDocument/2006/relationships/hyperlink" Target="https://reopt.nlr.gov/tool/results/c33c82ac-ee32-4034-a895-40e7a9ddff0a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6d84daf5-c0ba-4157-8818-6500a79a4c9c" TargetMode="External"/><Relationship Id="rId24" Type="http://schemas.openxmlformats.org/officeDocument/2006/relationships/hyperlink" Target="https://drive.google.com/file/d/1jrpu40DzxTFYY6LiD8LJLWmYTYBMVds2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60" Type="http://schemas.openxmlformats.org/officeDocument/2006/relationships/hyperlink" Target="https://reopt.nlr.gov/tool/results/0acc893e-a0c8-4746-a9de-f6f68c85f30c" TargetMode="External"/><Relationship Id="rId26" Type="http://schemas.openxmlformats.org/officeDocument/2006/relationships/hyperlink" Target="https://reopt.nlr.gov/tool/results/aa4574c6-1276-487d-832d-a44c6b480605" TargetMode="External"/><Relationship Id="rId25" Type="http://schemas.openxmlformats.org/officeDocument/2006/relationships/hyperlink" Target="https://reopt.nlr.gov/tool/results/6d84daf5-c0ba-4157-8818-6500a79a4c9c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29" Type="http://schemas.openxmlformats.org/officeDocument/2006/relationships/hyperlink" Target="https://drive.google.com/file/d/1jrpu40DzxTFYY6LiD8LJLWmYTYBMVds2/view?usp=drive_link" TargetMode="External"/><Relationship Id="rId51" Type="http://schemas.openxmlformats.org/officeDocument/2006/relationships/hyperlink" Target="https://reopt.nlr.gov/tool/results/27e00c87-5136-4549-a5ac-390a72ef83fd" TargetMode="External"/><Relationship Id="rId50" Type="http://schemas.openxmlformats.org/officeDocument/2006/relationships/hyperlink" Target="https://reopt.nlr.gov/tool/results/b2e5cef2-9c67-41d4-8f2e-674f720ff74a" TargetMode="External"/><Relationship Id="rId53" Type="http://schemas.openxmlformats.org/officeDocument/2006/relationships/hyperlink" Target="https://drive.google.com/file/d/12MjGV739OVxdOUym7sn516wQM4dv51MR/view?usp=drive_link" TargetMode="External"/><Relationship Id="rId52" Type="http://schemas.openxmlformats.org/officeDocument/2006/relationships/hyperlink" Target="https://drive.google.com/file/d/1Xl5WOtWsJzfbC-Y8nCxkp4Y4Mozirc_L/view?usp=drive_link" TargetMode="External"/><Relationship Id="rId11" Type="http://schemas.openxmlformats.org/officeDocument/2006/relationships/hyperlink" Target="https://reopt.nlr.gov/tool/results/ad535896-cde3-4993-882e-688a877490bc" TargetMode="External"/><Relationship Id="rId55" Type="http://schemas.openxmlformats.org/officeDocument/2006/relationships/hyperlink" Target="https://reopt.nlr.gov/tool/results/27e00c87-5136-4549-a5ac-390a72ef83fd" TargetMode="External"/><Relationship Id="rId10" Type="http://schemas.openxmlformats.org/officeDocument/2006/relationships/hyperlink" Target="https://reopt.nlr.gov/tool/results/bdc04319-3b55-46aa-ad92-a21b6e455dd9" TargetMode="External"/><Relationship Id="rId54" Type="http://schemas.openxmlformats.org/officeDocument/2006/relationships/hyperlink" Target="https://drive.google.com/file/d/1jrpu40DzxTFYY6LiD8LJLWmYTYBMVds2/view?usp=drive_link" TargetMode="External"/><Relationship Id="rId13" Type="http://schemas.openxmlformats.org/officeDocument/2006/relationships/hyperlink" Target="https://drive.google.com/file/d/12MjGV739OVxdOUym7sn516wQM4dv51MR/view?usp=drive_link" TargetMode="External"/><Relationship Id="rId57" Type="http://schemas.openxmlformats.org/officeDocument/2006/relationships/hyperlink" Target="https://drive.google.com/file/d/1Xl5WOtWsJzfbC-Y8nCxkp4Y4Mozirc_L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56" Type="http://schemas.openxmlformats.org/officeDocument/2006/relationships/hyperlink" Target="https://reopt.nlr.gov/tool/results/0acc893e-a0c8-4746-a9de-f6f68c85f30c" TargetMode="External"/><Relationship Id="rId15" Type="http://schemas.openxmlformats.org/officeDocument/2006/relationships/hyperlink" Target="https://reopt.nlr.gov/tool/results/ad535896-cde3-4993-882e-688a877490bc" TargetMode="External"/><Relationship Id="rId59" Type="http://schemas.openxmlformats.org/officeDocument/2006/relationships/hyperlink" Target="https://drive.google.com/file/d/1jrpu40DzxTFYY6LiD8LJLWmYTYBMVds2/view?usp=drive_link" TargetMode="External"/><Relationship Id="rId14" Type="http://schemas.openxmlformats.org/officeDocument/2006/relationships/hyperlink" Target="https://drive.google.com/file/d/1jrpu40DzxTFYY6LiD8LJLWmYTYBMVds2/view?usp=drive_link" TargetMode="External"/><Relationship Id="rId58" Type="http://schemas.openxmlformats.org/officeDocument/2006/relationships/hyperlink" Target="https://drive.google.com/file/d/12MjGV739OVxdOUym7sn516wQM4dv51MR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c33c82ac-ee32-4034-a895-40e7a9ddff0a" TargetMode="External"/><Relationship Id="rId19" Type="http://schemas.openxmlformats.org/officeDocument/2006/relationships/hyperlink" Target="https://drive.google.com/file/d/1jrpu40DzxTFYY6LiD8LJLWmYTYBMVds2/view?usp=drive_link" TargetMode="External"/><Relationship Id="rId18" Type="http://schemas.openxmlformats.org/officeDocument/2006/relationships/hyperlink" Target="https://drive.google.com/file/d/12MjGV739OVxdOUym7sn516wQM4dv51MR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eopt.nlr.gov/tool/results/23f3981b-caee-4cd9-b6dc-1e85a1d873a8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jrpu40DzxTFYY6LiD8LJLWmYTYBMVds2/view?usp=drive_link" TargetMode="External"/><Relationship Id="rId9" Type="http://schemas.openxmlformats.org/officeDocument/2006/relationships/hyperlink" Target="https://drive.google.com/file/d/1jrpu40DzxTFYY6LiD8LJLWmYTYBMVds2/view?usp=drive_link" TargetMode="External"/><Relationship Id="rId5" Type="http://schemas.openxmlformats.org/officeDocument/2006/relationships/hyperlink" Target="https://reopt.nlr.gov/tool/results/23f3981b-caee-4cd9-b6dc-1e85a1d873a8" TargetMode="External"/><Relationship Id="rId6" Type="http://schemas.openxmlformats.org/officeDocument/2006/relationships/hyperlink" Target="https://reopt.nlr.gov/tool/results/d3964043-c676-4d27-853c-cbfa08d8206a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s://reopt.nlr.gov/tool/results/dbbae308-e278-4a66-850f-8260f0cafa6c" TargetMode="External"/><Relationship Id="rId20" Type="http://schemas.openxmlformats.org/officeDocument/2006/relationships/hyperlink" Target="https://reopt.nlr.gov/tool/results/efb8d9d8-df7d-4edd-b912-4289b0d56ad8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228a8406-ef12-4288-aedf-1271de13745d" TargetMode="External"/><Relationship Id="rId24" Type="http://schemas.openxmlformats.org/officeDocument/2006/relationships/hyperlink" Target="https://drive.google.com/file/d/1jrpu40DzxTFYY6LiD8LJLWmYTYBMVds2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26" Type="http://schemas.openxmlformats.org/officeDocument/2006/relationships/hyperlink" Target="https://reopt.nlr.gov/tool/results/c70b5570-510b-4838-a8c0-56e735f522fe" TargetMode="External"/><Relationship Id="rId25" Type="http://schemas.openxmlformats.org/officeDocument/2006/relationships/hyperlink" Target="https://reopt.nlr.gov/tool/results/228a8406-ef12-4288-aedf-1271de13745d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29" Type="http://schemas.openxmlformats.org/officeDocument/2006/relationships/hyperlink" Target="https://drive.google.com/file/d/1jrpu40DzxTFYY6LiD8LJLWmYTYBMVds2/view?usp=drive_link" TargetMode="External"/><Relationship Id="rId11" Type="http://schemas.openxmlformats.org/officeDocument/2006/relationships/hyperlink" Target="https://reopt.nlr.gov/tool/results/dd9ea997-63e2-4451-b26f-eacf601894a0" TargetMode="External"/><Relationship Id="rId10" Type="http://schemas.openxmlformats.org/officeDocument/2006/relationships/hyperlink" Target="https://reopt.nlr.gov/tool/results/17277b73-6a71-4435-b3d7-47d663536f96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15" Type="http://schemas.openxmlformats.org/officeDocument/2006/relationships/hyperlink" Target="https://reopt.nlr.gov/tool/results/dd9ea997-63e2-4451-b26f-eacf601894a0" TargetMode="External"/><Relationship Id="rId14" Type="http://schemas.openxmlformats.org/officeDocument/2006/relationships/hyperlink" Target="https://drive.google.com/file/d/1jrpu40DzxTFYY6LiD8LJLWmYTYBMVds2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6e28df29-a328-4fdf-90b8-a2da5eeea3c7" TargetMode="External"/><Relationship Id="rId19" Type="http://schemas.openxmlformats.org/officeDocument/2006/relationships/hyperlink" Target="https://drive.google.com/file/d/1jrpu40DzxTFYY6LiD8LJLWmYTYBMVds2/view?usp=drive_link" TargetMode="External"/><Relationship Id="rId18" Type="http://schemas.openxmlformats.org/officeDocument/2006/relationships/hyperlink" Target="https://drive.google.com/file/d/12MjGV739OVxdOUym7sn516wQM4dv51MR/view?usp=driv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eopt.nlr.gov/tool/results/3ac327fa-566c-4598-8e42-aeeac145dd56" TargetMode="External"/><Relationship Id="rId42" Type="http://schemas.openxmlformats.org/officeDocument/2006/relationships/hyperlink" Target="https://drive.google.com/file/d/1Xl5WOtWsJzfbC-Y8nCxkp4Y4Mozirc_L/view?usp=drive_link" TargetMode="External"/><Relationship Id="rId41" Type="http://schemas.openxmlformats.org/officeDocument/2006/relationships/hyperlink" Target="https://reopt.nlr.gov/tool/results/40f1c2f2-f95b-4366-b012-c86e517ede3d" TargetMode="External"/><Relationship Id="rId44" Type="http://schemas.openxmlformats.org/officeDocument/2006/relationships/hyperlink" Target="https://drive.google.com/file/d/1jrpu40DzxTFYY6LiD8LJLWmYTYBMVds2/view?usp=drive_link" TargetMode="External"/><Relationship Id="rId43" Type="http://schemas.openxmlformats.org/officeDocument/2006/relationships/hyperlink" Target="https://drive.google.com/file/d/12MjGV739OVxdOUym7sn516wQM4dv51MR/view?usp=drive_link" TargetMode="External"/><Relationship Id="rId46" Type="http://schemas.openxmlformats.org/officeDocument/2006/relationships/hyperlink" Target="https://reopt.nlr.gov/tool/results/adefb40b-92ed-4765-842b-2c3430231f18" TargetMode="External"/><Relationship Id="rId45" Type="http://schemas.openxmlformats.org/officeDocument/2006/relationships/hyperlink" Target="https://reopt.nlr.gov/tool/results/40f1c2f2-f95b-4366-b012-c86e517ede3d" TargetMode="External"/><Relationship Id="rId80" Type="http://schemas.openxmlformats.org/officeDocument/2006/relationships/hyperlink" Target="https://reopt.nlr.gov/tool/results/02f37f23-2e8b-4949-bb68-2b9c8c9efd64" TargetMode="External"/><Relationship Id="rId81" Type="http://schemas.openxmlformats.org/officeDocument/2006/relationships/drawing" Target="../drawings/drawing7.xml"/><Relationship Id="rId1" Type="http://schemas.openxmlformats.org/officeDocument/2006/relationships/hyperlink" Target="https://reopt.nlr.gov/tool/results/ca9b65c5-dfb4-4b35-95d8-659ed6cd89c0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jrpu40DzxTFYY6LiD8LJLWmYTYBMVds2/view?usp=drive_link" TargetMode="External"/><Relationship Id="rId9" Type="http://schemas.openxmlformats.org/officeDocument/2006/relationships/hyperlink" Target="https://drive.google.com/file/d/1jrpu40DzxTFYY6LiD8LJLWmYTYBMVds2/view?usp=drive_link" TargetMode="External"/><Relationship Id="rId48" Type="http://schemas.openxmlformats.org/officeDocument/2006/relationships/hyperlink" Target="https://drive.google.com/file/d/12MjGV739OVxdOUym7sn516wQM4dv51MR/view?usp=drive_link" TargetMode="External"/><Relationship Id="rId47" Type="http://schemas.openxmlformats.org/officeDocument/2006/relationships/hyperlink" Target="https://drive.google.com/file/d/1Xl5WOtWsJzfbC-Y8nCxkp4Y4Mozirc_L/view?usp=drive_link" TargetMode="External"/><Relationship Id="rId49" Type="http://schemas.openxmlformats.org/officeDocument/2006/relationships/hyperlink" Target="https://drive.google.com/file/d/1jrpu40DzxTFYY6LiD8LJLWmYTYBMVds2/view?usp=drive_link" TargetMode="External"/><Relationship Id="rId5" Type="http://schemas.openxmlformats.org/officeDocument/2006/relationships/hyperlink" Target="https://reopt.nlr.gov/tool/results/ca9b65c5-dfb4-4b35-95d8-659ed6cd89c0" TargetMode="External"/><Relationship Id="rId6" Type="http://schemas.openxmlformats.org/officeDocument/2006/relationships/hyperlink" Target="https://reopt.nlr.gov/tool/results/250e5903-0007-4b11-9f1d-647e759df612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73" Type="http://schemas.openxmlformats.org/officeDocument/2006/relationships/hyperlink" Target="https://drive.google.com/file/d/12MjGV739OVxdOUym7sn516wQM4dv51MR/view?usp=drive_link" TargetMode="External"/><Relationship Id="rId72" Type="http://schemas.openxmlformats.org/officeDocument/2006/relationships/hyperlink" Target="https://drive.google.com/file/d/1Xl5WOtWsJzfbC-Y8nCxkp4Y4Mozirc_L/view?usp=drive_link" TargetMode="External"/><Relationship Id="rId31" Type="http://schemas.openxmlformats.org/officeDocument/2006/relationships/hyperlink" Target="https://reopt.nlr.gov/tool/results/08c3d4c5-7fa6-4cef-aecb-0e56d6c9a235" TargetMode="External"/><Relationship Id="rId75" Type="http://schemas.openxmlformats.org/officeDocument/2006/relationships/hyperlink" Target="https://reopt.nlr.gov/tool/results/9e638cb2-49c0-405f-8579-06a1bbd13990" TargetMode="External"/><Relationship Id="rId30" Type="http://schemas.openxmlformats.org/officeDocument/2006/relationships/hyperlink" Target="https://reopt.nlr.gov/tool/results/559309b0-6430-449b-b65b-47aa2b5cbdfd" TargetMode="External"/><Relationship Id="rId74" Type="http://schemas.openxmlformats.org/officeDocument/2006/relationships/hyperlink" Target="https://drive.google.com/file/d/1jrpu40DzxTFYY6LiD8LJLWmYTYBMVds2/view?usp=drive_link" TargetMode="External"/><Relationship Id="rId33" Type="http://schemas.openxmlformats.org/officeDocument/2006/relationships/hyperlink" Target="https://drive.google.com/file/d/12MjGV739OVxdOUym7sn516wQM4dv51MR/view?usp=drive_link" TargetMode="External"/><Relationship Id="rId77" Type="http://schemas.openxmlformats.org/officeDocument/2006/relationships/hyperlink" Target="https://drive.google.com/file/d/1Xl5WOtWsJzfbC-Y8nCxkp4Y4Mozirc_L/view?usp=drive_link" TargetMode="External"/><Relationship Id="rId32" Type="http://schemas.openxmlformats.org/officeDocument/2006/relationships/hyperlink" Target="https://drive.google.com/file/d/1Xl5WOtWsJzfbC-Y8nCxkp4Y4Mozirc_L/view?usp=drive_link" TargetMode="External"/><Relationship Id="rId76" Type="http://schemas.openxmlformats.org/officeDocument/2006/relationships/hyperlink" Target="https://reopt.nlr.gov/tool/results/02f37f23-2e8b-4949-bb68-2b9c8c9efd64" TargetMode="External"/><Relationship Id="rId35" Type="http://schemas.openxmlformats.org/officeDocument/2006/relationships/hyperlink" Target="https://reopt.nlr.gov/tool/results/08c3d4c5-7fa6-4cef-aecb-0e56d6c9a235" TargetMode="External"/><Relationship Id="rId79" Type="http://schemas.openxmlformats.org/officeDocument/2006/relationships/hyperlink" Target="https://drive.google.com/file/d/1jrpu40DzxTFYY6LiD8LJLWmYTYBMVds2/view?usp=drive_link" TargetMode="External"/><Relationship Id="rId34" Type="http://schemas.openxmlformats.org/officeDocument/2006/relationships/hyperlink" Target="https://drive.google.com/file/d/1jrpu40DzxTFYY6LiD8LJLWmYTYBMVds2/view?usp=drive_link" TargetMode="External"/><Relationship Id="rId78" Type="http://schemas.openxmlformats.org/officeDocument/2006/relationships/hyperlink" Target="https://drive.google.com/file/d/12MjGV739OVxdOUym7sn516wQM4dv51MR/view?usp=drive_link" TargetMode="External"/><Relationship Id="rId71" Type="http://schemas.openxmlformats.org/officeDocument/2006/relationships/hyperlink" Target="https://reopt.nlr.gov/tool/results/9e638cb2-49c0-405f-8579-06a1bbd13990" TargetMode="External"/><Relationship Id="rId70" Type="http://schemas.openxmlformats.org/officeDocument/2006/relationships/hyperlink" Target="https://reopt.nlr.gov/tool/results/c1b768f7-4fd7-4b68-840c-ac461d8b3653" TargetMode="External"/><Relationship Id="rId37" Type="http://schemas.openxmlformats.org/officeDocument/2006/relationships/hyperlink" Target="https://drive.google.com/file/d/1Xl5WOtWsJzfbC-Y8nCxkp4Y4Mozirc_L/view?usp=drive_link" TargetMode="External"/><Relationship Id="rId36" Type="http://schemas.openxmlformats.org/officeDocument/2006/relationships/hyperlink" Target="https://reopt.nlr.gov/tool/results/3ac327fa-566c-4598-8e42-aeeac145dd56" TargetMode="External"/><Relationship Id="rId39" Type="http://schemas.openxmlformats.org/officeDocument/2006/relationships/hyperlink" Target="https://drive.google.com/file/d/1jrpu40DzxTFYY6LiD8LJLWmYTYBMVds2/view?usp=drive_link" TargetMode="External"/><Relationship Id="rId38" Type="http://schemas.openxmlformats.org/officeDocument/2006/relationships/hyperlink" Target="https://drive.google.com/file/d/12MjGV739OVxdOUym7sn516wQM4dv51MR/view?usp=drive_link" TargetMode="External"/><Relationship Id="rId62" Type="http://schemas.openxmlformats.org/officeDocument/2006/relationships/hyperlink" Target="https://drive.google.com/file/d/1Xl5WOtWsJzfbC-Y8nCxkp4Y4Mozirc_L/view?usp=drive_link" TargetMode="External"/><Relationship Id="rId61" Type="http://schemas.openxmlformats.org/officeDocument/2006/relationships/hyperlink" Target="https://reopt.nlr.gov/tool/results/9ad2ab7e-a198-4ecb-8f64-6654f744f22f" TargetMode="External"/><Relationship Id="rId20" Type="http://schemas.openxmlformats.org/officeDocument/2006/relationships/hyperlink" Target="https://reopt.nlr.gov/tool/results/37caf5ee-ecc4-43aa-bd88-fedd4bc5203c" TargetMode="External"/><Relationship Id="rId64" Type="http://schemas.openxmlformats.org/officeDocument/2006/relationships/hyperlink" Target="https://drive.google.com/file/d/1jrpu40DzxTFYY6LiD8LJLWmYTYBMVds2/view?usp=drive_link" TargetMode="External"/><Relationship Id="rId63" Type="http://schemas.openxmlformats.org/officeDocument/2006/relationships/hyperlink" Target="https://drive.google.com/file/d/12MjGV739OVxdOUym7sn516wQM4dv51MR/view?usp=drive_link" TargetMode="External"/><Relationship Id="rId22" Type="http://schemas.openxmlformats.org/officeDocument/2006/relationships/hyperlink" Target="https://drive.google.com/file/d/1Xl5WOtWsJzfbC-Y8nCxkp4Y4Mozirc_L/view?usp=drive_link" TargetMode="External"/><Relationship Id="rId66" Type="http://schemas.openxmlformats.org/officeDocument/2006/relationships/hyperlink" Target="https://reopt.nlr.gov/tool/results/c1b768f7-4fd7-4b68-840c-ac461d8b3653" TargetMode="External"/><Relationship Id="rId21" Type="http://schemas.openxmlformats.org/officeDocument/2006/relationships/hyperlink" Target="https://reopt.nlr.gov/tool/results/80f21dca-1469-48cd-88b1-0f9b172cb2f8" TargetMode="External"/><Relationship Id="rId65" Type="http://schemas.openxmlformats.org/officeDocument/2006/relationships/hyperlink" Target="https://reopt.nlr.gov/tool/results/9ad2ab7e-a198-4ecb-8f64-6654f744f22f" TargetMode="External"/><Relationship Id="rId24" Type="http://schemas.openxmlformats.org/officeDocument/2006/relationships/hyperlink" Target="https://drive.google.com/file/d/1jrpu40DzxTFYY6LiD8LJLWmYTYBMVds2/view?usp=drive_link" TargetMode="External"/><Relationship Id="rId68" Type="http://schemas.openxmlformats.org/officeDocument/2006/relationships/hyperlink" Target="https://drive.google.com/file/d/12MjGV739OVxdOUym7sn516wQM4dv51MR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67" Type="http://schemas.openxmlformats.org/officeDocument/2006/relationships/hyperlink" Target="https://drive.google.com/file/d/1Xl5WOtWsJzfbC-Y8nCxkp4Y4Mozirc_L/view?usp=drive_link" TargetMode="External"/><Relationship Id="rId60" Type="http://schemas.openxmlformats.org/officeDocument/2006/relationships/hyperlink" Target="https://reopt.nlr.gov/tool/results/d6a09e92-7b6d-42c3-89a5-225cb7a8a82e" TargetMode="External"/><Relationship Id="rId26" Type="http://schemas.openxmlformats.org/officeDocument/2006/relationships/hyperlink" Target="https://reopt.nlr.gov/tool/results/559309b0-6430-449b-b65b-47aa2b5cbdfd" TargetMode="External"/><Relationship Id="rId25" Type="http://schemas.openxmlformats.org/officeDocument/2006/relationships/hyperlink" Target="https://reopt.nlr.gov/tool/results/80f21dca-1469-48cd-88b1-0f9b172cb2f8" TargetMode="External"/><Relationship Id="rId69" Type="http://schemas.openxmlformats.org/officeDocument/2006/relationships/hyperlink" Target="https://drive.google.com/file/d/1jrpu40DzxTFYY6LiD8LJLWmYTYBMVds2/view?usp=drive_link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29" Type="http://schemas.openxmlformats.org/officeDocument/2006/relationships/hyperlink" Target="https://drive.google.com/file/d/1jrpu40DzxTFYY6LiD8LJLWmYTYBMVds2/view?usp=drive_link" TargetMode="External"/><Relationship Id="rId51" Type="http://schemas.openxmlformats.org/officeDocument/2006/relationships/hyperlink" Target="https://reopt.nlr.gov/tool/results/a89bce28-f8a0-44af-9974-4fcf93d0b11b" TargetMode="External"/><Relationship Id="rId50" Type="http://schemas.openxmlformats.org/officeDocument/2006/relationships/hyperlink" Target="https://reopt.nlr.gov/tool/results/adefb40b-92ed-4765-842b-2c3430231f18" TargetMode="External"/><Relationship Id="rId53" Type="http://schemas.openxmlformats.org/officeDocument/2006/relationships/hyperlink" Target="https://drive.google.com/file/d/12MjGV739OVxdOUym7sn516wQM4dv51MR/view?usp=drive_link" TargetMode="External"/><Relationship Id="rId52" Type="http://schemas.openxmlformats.org/officeDocument/2006/relationships/hyperlink" Target="https://drive.google.com/file/d/1Xl5WOtWsJzfbC-Y8nCxkp4Y4Mozirc_L/view?usp=drive_link" TargetMode="External"/><Relationship Id="rId11" Type="http://schemas.openxmlformats.org/officeDocument/2006/relationships/hyperlink" Target="https://reopt.nlr.gov/tool/results/ac50376a-4719-48cd-8c6b-4c41b6a8dcbb" TargetMode="External"/><Relationship Id="rId55" Type="http://schemas.openxmlformats.org/officeDocument/2006/relationships/hyperlink" Target="https://reopt.nlr.gov/tool/results/a89bce28-f8a0-44af-9974-4fcf93d0b11b" TargetMode="External"/><Relationship Id="rId10" Type="http://schemas.openxmlformats.org/officeDocument/2006/relationships/hyperlink" Target="https://reopt.nlr.gov/tool/results/250e5903-0007-4b11-9f1d-647e759df612" TargetMode="External"/><Relationship Id="rId54" Type="http://schemas.openxmlformats.org/officeDocument/2006/relationships/hyperlink" Target="https://drive.google.com/file/d/1jrpu40DzxTFYY6LiD8LJLWmYTYBMVds2/view?usp=drive_link" TargetMode="External"/><Relationship Id="rId13" Type="http://schemas.openxmlformats.org/officeDocument/2006/relationships/hyperlink" Target="https://drive.google.com/file/d/12MjGV739OVxdOUym7sn516wQM4dv51MR/view?usp=drive_link" TargetMode="External"/><Relationship Id="rId57" Type="http://schemas.openxmlformats.org/officeDocument/2006/relationships/hyperlink" Target="https://drive.google.com/file/d/1Xl5WOtWsJzfbC-Y8nCxkp4Y4Mozirc_L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56" Type="http://schemas.openxmlformats.org/officeDocument/2006/relationships/hyperlink" Target="https://reopt.nlr.gov/tool/results/d6a09e92-7b6d-42c3-89a5-225cb7a8a82e" TargetMode="External"/><Relationship Id="rId15" Type="http://schemas.openxmlformats.org/officeDocument/2006/relationships/hyperlink" Target="https://reopt.nlr.gov/tool/results/ac50376a-4719-48cd-8c6b-4c41b6a8dcbb" TargetMode="External"/><Relationship Id="rId59" Type="http://schemas.openxmlformats.org/officeDocument/2006/relationships/hyperlink" Target="https://drive.google.com/file/d/1jrpu40DzxTFYY6LiD8LJLWmYTYBMVds2/view?usp=drive_link" TargetMode="External"/><Relationship Id="rId14" Type="http://schemas.openxmlformats.org/officeDocument/2006/relationships/hyperlink" Target="https://drive.google.com/file/d/1jrpu40DzxTFYY6LiD8LJLWmYTYBMVds2/view?usp=drive_link" TargetMode="External"/><Relationship Id="rId58" Type="http://schemas.openxmlformats.org/officeDocument/2006/relationships/hyperlink" Target="https://drive.google.com/file/d/12MjGV739OVxdOUym7sn516wQM4dv51MR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37caf5ee-ecc4-43aa-bd88-fedd4bc5203c" TargetMode="External"/><Relationship Id="rId19" Type="http://schemas.openxmlformats.org/officeDocument/2006/relationships/hyperlink" Target="https://drive.google.com/file/d/1jrpu40DzxTFYY6LiD8LJLWmYTYBMVds2/view?usp=drive_link" TargetMode="External"/><Relationship Id="rId18" Type="http://schemas.openxmlformats.org/officeDocument/2006/relationships/hyperlink" Target="https://drive.google.com/file/d/12MjGV739OVxdOUym7sn516wQM4dv51MR/view?usp=driv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reopt.nlr.gov/tool/results/557b9690-9186-41b4-acae-ddb8d69cfb19" TargetMode="External"/><Relationship Id="rId42" Type="http://schemas.openxmlformats.org/officeDocument/2006/relationships/hyperlink" Target="https://drive.google.com/file/d/1Xl5WOtWsJzfbC-Y8nCxkp4Y4Mozirc_L/view?usp=drive_link" TargetMode="External"/><Relationship Id="rId41" Type="http://schemas.openxmlformats.org/officeDocument/2006/relationships/hyperlink" Target="https://reopt.nlr.gov/tool/results/a4707518-4be8-4ddb-af53-e656c4a9b050" TargetMode="External"/><Relationship Id="rId44" Type="http://schemas.openxmlformats.org/officeDocument/2006/relationships/hyperlink" Target="https://drive.google.com/file/d/1jrpu40DzxTFYY6LiD8LJLWmYTYBMVds2/view?usp=drive_link" TargetMode="External"/><Relationship Id="rId43" Type="http://schemas.openxmlformats.org/officeDocument/2006/relationships/hyperlink" Target="https://drive.google.com/file/d/12MjGV739OVxdOUym7sn516wQM4dv51MR/view?usp=drive_link" TargetMode="External"/><Relationship Id="rId46" Type="http://schemas.openxmlformats.org/officeDocument/2006/relationships/hyperlink" Target="https://reopt.nlr.gov/tool/results/35876e26-9015-477d-ac01-78aad273d09f" TargetMode="External"/><Relationship Id="rId45" Type="http://schemas.openxmlformats.org/officeDocument/2006/relationships/hyperlink" Target="https://reopt.nlr.gov/tool/results/a4707518-4be8-4ddb-af53-e656c4a9b050" TargetMode="External"/><Relationship Id="rId107" Type="http://schemas.openxmlformats.org/officeDocument/2006/relationships/hyperlink" Target="https://drive.google.com/file/d/1Xl5WOtWsJzfbC-Y8nCxkp4Y4Mozirc_L/view?usp=drive_link" TargetMode="External"/><Relationship Id="rId106" Type="http://schemas.openxmlformats.org/officeDocument/2006/relationships/hyperlink" Target="https://reopt.nlr.gov/tool/results/21ef4ff1-4031-4e27-86fe-fa5522c89bd1" TargetMode="External"/><Relationship Id="rId105" Type="http://schemas.openxmlformats.org/officeDocument/2006/relationships/hyperlink" Target="https://reopt.nlr.gov/tool/results/c6499810-171b-438b-b370-f8022aa83a3f" TargetMode="External"/><Relationship Id="rId104" Type="http://schemas.openxmlformats.org/officeDocument/2006/relationships/hyperlink" Target="https://drive.google.com/file/d/1jrpu40DzxTFYY6LiD8LJLWmYTYBMVds2/view?usp=drive_link" TargetMode="External"/><Relationship Id="rId109" Type="http://schemas.openxmlformats.org/officeDocument/2006/relationships/hyperlink" Target="https://drive.google.com/file/d/1jrpu40DzxTFYY6LiD8LJLWmYTYBMVds2/view?usp=drive_link" TargetMode="External"/><Relationship Id="rId108" Type="http://schemas.openxmlformats.org/officeDocument/2006/relationships/hyperlink" Target="https://drive.google.com/file/d/12MjGV739OVxdOUym7sn516wQM4dv51MR/view?usp=drive_link" TargetMode="External"/><Relationship Id="rId48" Type="http://schemas.openxmlformats.org/officeDocument/2006/relationships/hyperlink" Target="https://drive.google.com/file/d/12MjGV739OVxdOUym7sn516wQM4dv51MR/view?usp=drive_link" TargetMode="External"/><Relationship Id="rId47" Type="http://schemas.openxmlformats.org/officeDocument/2006/relationships/hyperlink" Target="https://drive.google.com/file/d/1Xl5WOtWsJzfbC-Y8nCxkp4Y4Mozirc_L/view?usp=drive_link" TargetMode="External"/><Relationship Id="rId49" Type="http://schemas.openxmlformats.org/officeDocument/2006/relationships/hyperlink" Target="https://drive.google.com/file/d/1jrpu40DzxTFYY6LiD8LJLWmYTYBMVds2/view?usp=drive_link" TargetMode="External"/><Relationship Id="rId103" Type="http://schemas.openxmlformats.org/officeDocument/2006/relationships/hyperlink" Target="https://drive.google.com/file/d/12MjGV739OVxdOUym7sn516wQM4dv51MR/view?usp=drive_link" TargetMode="External"/><Relationship Id="rId102" Type="http://schemas.openxmlformats.org/officeDocument/2006/relationships/hyperlink" Target="https://drive.google.com/file/d/1Xl5WOtWsJzfbC-Y8nCxkp4Y4Mozirc_L/view?usp=drive_link" TargetMode="External"/><Relationship Id="rId101" Type="http://schemas.openxmlformats.org/officeDocument/2006/relationships/hyperlink" Target="https://reopt.nlr.gov/tool/results/92fcdeea-b750-4982-817c-a35ab567c550" TargetMode="External"/><Relationship Id="rId100" Type="http://schemas.openxmlformats.org/officeDocument/2006/relationships/hyperlink" Target="https://reopt.nlr.gov/tool/results/f021faf4-1751-4934-a9f5-dce3cf60342d" TargetMode="External"/><Relationship Id="rId31" Type="http://schemas.openxmlformats.org/officeDocument/2006/relationships/hyperlink" Target="https://reopt.nlr.gov/tool/results/111b1366-922b-43e4-9397-e16e0bdb3cc2" TargetMode="External"/><Relationship Id="rId30" Type="http://schemas.openxmlformats.org/officeDocument/2006/relationships/hyperlink" Target="https://reopt.nlr.gov/tool/results/178b5185-25b8-40ea-9bc8-e1b3199e1dae" TargetMode="External"/><Relationship Id="rId33" Type="http://schemas.openxmlformats.org/officeDocument/2006/relationships/hyperlink" Target="https://drive.google.com/file/d/12MjGV739OVxdOUym7sn516wQM4dv51MR/view?usp=drive_link" TargetMode="External"/><Relationship Id="rId32" Type="http://schemas.openxmlformats.org/officeDocument/2006/relationships/hyperlink" Target="https://drive.google.com/file/d/1Xl5WOtWsJzfbC-Y8nCxkp4Y4Mozirc_L/view?usp=drive_link" TargetMode="External"/><Relationship Id="rId35" Type="http://schemas.openxmlformats.org/officeDocument/2006/relationships/hyperlink" Target="https://reopt.nlr.gov/tool/results/111b1366-922b-43e4-9397-e16e0bdb3cc2" TargetMode="External"/><Relationship Id="rId34" Type="http://schemas.openxmlformats.org/officeDocument/2006/relationships/hyperlink" Target="https://drive.google.com/file/d/1jrpu40DzxTFYY6LiD8LJLWmYTYBMVds2/view?usp=drive_link" TargetMode="External"/><Relationship Id="rId37" Type="http://schemas.openxmlformats.org/officeDocument/2006/relationships/hyperlink" Target="https://drive.google.com/file/d/1Xl5WOtWsJzfbC-Y8nCxkp4Y4Mozirc_L/view?usp=drive_link" TargetMode="External"/><Relationship Id="rId176" Type="http://schemas.openxmlformats.org/officeDocument/2006/relationships/drawing" Target="../drawings/drawing8.xml"/><Relationship Id="rId36" Type="http://schemas.openxmlformats.org/officeDocument/2006/relationships/hyperlink" Target="https://reopt.nlr.gov/tool/results/557b9690-9186-41b4-acae-ddb8d69cfb19" TargetMode="External"/><Relationship Id="rId175" Type="http://schemas.openxmlformats.org/officeDocument/2006/relationships/hyperlink" Target="https://reopt.nlr.gov/tool/results/a03b3fe4-2c0d-4f82-9a09-c9052f5efd98" TargetMode="External"/><Relationship Id="rId39" Type="http://schemas.openxmlformats.org/officeDocument/2006/relationships/hyperlink" Target="https://drive.google.com/file/d/1jrpu40DzxTFYY6LiD8LJLWmYTYBMVds2/view?usp=drive_link" TargetMode="External"/><Relationship Id="rId174" Type="http://schemas.openxmlformats.org/officeDocument/2006/relationships/hyperlink" Target="https://drive.google.com/file/d/1jrpu40DzxTFYY6LiD8LJLWmYTYBMVds2/view?usp=drive_link" TargetMode="External"/><Relationship Id="rId38" Type="http://schemas.openxmlformats.org/officeDocument/2006/relationships/hyperlink" Target="https://drive.google.com/file/d/12MjGV739OVxdOUym7sn516wQM4dv51MR/view?usp=drive_link" TargetMode="External"/><Relationship Id="rId173" Type="http://schemas.openxmlformats.org/officeDocument/2006/relationships/hyperlink" Target="https://drive.google.com/file/d/12MjGV739OVxdOUym7sn516wQM4dv51MR/view?usp=drive_link" TargetMode="External"/><Relationship Id="rId20" Type="http://schemas.openxmlformats.org/officeDocument/2006/relationships/hyperlink" Target="https://reopt.nlr.gov/tool/results/b5c4601b-ff9c-42c6-af1c-5b7f65eec31d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c7140725-b9e8-40fa-b10b-de4e5b519f72" TargetMode="External"/><Relationship Id="rId24" Type="http://schemas.openxmlformats.org/officeDocument/2006/relationships/hyperlink" Target="https://drive.google.com/file/d/1jrpu40DzxTFYY6LiD8LJLWmYTYBMVds2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129" Type="http://schemas.openxmlformats.org/officeDocument/2006/relationships/hyperlink" Target="https://drive.google.com/file/d/1jrpu40DzxTFYY6LiD8LJLWmYTYBMVds2/view?usp=drive_link" TargetMode="External"/><Relationship Id="rId128" Type="http://schemas.openxmlformats.org/officeDocument/2006/relationships/hyperlink" Target="https://drive.google.com/file/d/12MjGV739OVxdOUym7sn516wQM4dv51MR/view?usp=drive_link" TargetMode="External"/><Relationship Id="rId127" Type="http://schemas.openxmlformats.org/officeDocument/2006/relationships/hyperlink" Target="https://drive.google.com/file/d/1Xl5WOtWsJzfbC-Y8nCxkp4Y4Mozirc_L/view?usp=drive_link" TargetMode="External"/><Relationship Id="rId126" Type="http://schemas.openxmlformats.org/officeDocument/2006/relationships/hyperlink" Target="https://reopt.nlr.gov/tool/results/20e82bbc-0285-4e1a-b589-7456c958ab04" TargetMode="External"/><Relationship Id="rId26" Type="http://schemas.openxmlformats.org/officeDocument/2006/relationships/hyperlink" Target="https://reopt.nlr.gov/tool/results/178b5185-25b8-40ea-9bc8-e1b3199e1dae" TargetMode="External"/><Relationship Id="rId121" Type="http://schemas.openxmlformats.org/officeDocument/2006/relationships/hyperlink" Target="https://reopt.nlr.gov/tool/results/51daa90d-945e-4511-b47c-884da1fb7519" TargetMode="External"/><Relationship Id="rId25" Type="http://schemas.openxmlformats.org/officeDocument/2006/relationships/hyperlink" Target="https://reopt.nlr.gov/tool/results/c7140725-b9e8-40fa-b10b-de4e5b519f72" TargetMode="External"/><Relationship Id="rId120" Type="http://schemas.openxmlformats.org/officeDocument/2006/relationships/hyperlink" Target="https://reopt.nlr.gov/tool/results/178b5185-25b8-40ea-9bc8-e1b3199e1dae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125" Type="http://schemas.openxmlformats.org/officeDocument/2006/relationships/hyperlink" Target="https://reopt.nlr.gov/tool/results/ca9b65c5-dfb4-4b35-95d8-659ed6cd89c0" TargetMode="External"/><Relationship Id="rId29" Type="http://schemas.openxmlformats.org/officeDocument/2006/relationships/hyperlink" Target="https://drive.google.com/file/d/1jrpu40DzxTFYY6LiD8LJLWmYTYBMVds2/view?usp=drive_link" TargetMode="External"/><Relationship Id="rId124" Type="http://schemas.openxmlformats.org/officeDocument/2006/relationships/hyperlink" Target="https://drive.google.com/file/d/1jrpu40DzxTFYY6LiD8LJLWmYTYBMVds2/view?usp=drive_link" TargetMode="External"/><Relationship Id="rId123" Type="http://schemas.openxmlformats.org/officeDocument/2006/relationships/hyperlink" Target="https://drive.google.com/file/d/12MjGV739OVxdOUym7sn516wQM4dv51MR/view?usp=drive_link" TargetMode="External"/><Relationship Id="rId122" Type="http://schemas.openxmlformats.org/officeDocument/2006/relationships/hyperlink" Target="https://drive.google.com/file/d/1Xl5WOtWsJzfbC-Y8nCxkp4Y4Mozirc_L/view?usp=drive_link" TargetMode="External"/><Relationship Id="rId95" Type="http://schemas.openxmlformats.org/officeDocument/2006/relationships/hyperlink" Target="https://reopt.nlr.gov/tool/results/6aa842d4-0dec-4ac8-aabe-96d656faeb84" TargetMode="External"/><Relationship Id="rId94" Type="http://schemas.openxmlformats.org/officeDocument/2006/relationships/hyperlink" Target="https://drive.google.com/file/d/1jrpu40DzxTFYY6LiD8LJLWmYTYBMVds2/view?usp=drive_link" TargetMode="External"/><Relationship Id="rId97" Type="http://schemas.openxmlformats.org/officeDocument/2006/relationships/hyperlink" Target="https://drive.google.com/file/d/1Xl5WOtWsJzfbC-Y8nCxkp4Y4Mozirc_L/view?usp=drive_link" TargetMode="External"/><Relationship Id="rId96" Type="http://schemas.openxmlformats.org/officeDocument/2006/relationships/hyperlink" Target="https://reopt.nlr.gov/tool/results/025c283e-b2c1-4d07-aeea-32f18e3ee5e4" TargetMode="External"/><Relationship Id="rId11" Type="http://schemas.openxmlformats.org/officeDocument/2006/relationships/hyperlink" Target="https://reopt.nlr.gov/tool/results/c6499810-171b-438b-b370-f8022aa83a3f" TargetMode="External"/><Relationship Id="rId99" Type="http://schemas.openxmlformats.org/officeDocument/2006/relationships/hyperlink" Target="https://drive.google.com/file/d/1jrpu40DzxTFYY6LiD8LJLWmYTYBMVds2/view?usp=drive_link" TargetMode="External"/><Relationship Id="rId10" Type="http://schemas.openxmlformats.org/officeDocument/2006/relationships/hyperlink" Target="https://reopt.nlr.gov/tool/results/f021faf4-1751-4934-a9f5-dce3cf60342d" TargetMode="External"/><Relationship Id="rId98" Type="http://schemas.openxmlformats.org/officeDocument/2006/relationships/hyperlink" Target="https://drive.google.com/file/d/12MjGV739OVxdOUym7sn516wQM4dv51MR/view?usp=drive_link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91" Type="http://schemas.openxmlformats.org/officeDocument/2006/relationships/hyperlink" Target="https://reopt.nlr.gov/tool/results/ea1ea054-76c9-4848-81b1-5223464f1247" TargetMode="External"/><Relationship Id="rId90" Type="http://schemas.openxmlformats.org/officeDocument/2006/relationships/hyperlink" Target="https://reopt.nlr.gov/tool/results/a03b3fe4-2c0d-4f82-9a09-c9052f5efd98" TargetMode="External"/><Relationship Id="rId93" Type="http://schemas.openxmlformats.org/officeDocument/2006/relationships/hyperlink" Target="https://drive.google.com/file/d/12MjGV739OVxdOUym7sn516wQM4dv51MR/view?usp=drive_link" TargetMode="External"/><Relationship Id="rId92" Type="http://schemas.openxmlformats.org/officeDocument/2006/relationships/hyperlink" Target="https://drive.google.com/file/d/1Xl5WOtWsJzfbC-Y8nCxkp4Y4Mozirc_L/view?usp=drive_link" TargetMode="External"/><Relationship Id="rId118" Type="http://schemas.openxmlformats.org/officeDocument/2006/relationships/hyperlink" Target="https://drive.google.com/file/d/12MjGV739OVxdOUym7sn516wQM4dv51MR/view?usp=drive_link" TargetMode="External"/><Relationship Id="rId117" Type="http://schemas.openxmlformats.org/officeDocument/2006/relationships/hyperlink" Target="https://drive.google.com/file/d/1Xl5WOtWsJzfbC-Y8nCxkp4Y4Mozirc_L/view?usp=drive_link" TargetMode="External"/><Relationship Id="rId116" Type="http://schemas.openxmlformats.org/officeDocument/2006/relationships/hyperlink" Target="https://reopt.nlr.gov/tool/results/9450344d-12ea-45c8-9ab5-6f08dc9ff397" TargetMode="External"/><Relationship Id="rId115" Type="http://schemas.openxmlformats.org/officeDocument/2006/relationships/hyperlink" Target="https://reopt.nlr.gov/tool/results/c7140725-b9e8-40fa-b10b-de4e5b519f72" TargetMode="External"/><Relationship Id="rId119" Type="http://schemas.openxmlformats.org/officeDocument/2006/relationships/hyperlink" Target="https://drive.google.com/file/d/1jrpu40DzxTFYY6LiD8LJLWmYTYBMVds2/view?usp=drive_link" TargetMode="External"/><Relationship Id="rId15" Type="http://schemas.openxmlformats.org/officeDocument/2006/relationships/hyperlink" Target="https://reopt.nlr.gov/tool/results/c6499810-171b-438b-b370-f8022aa83a3f" TargetMode="External"/><Relationship Id="rId110" Type="http://schemas.openxmlformats.org/officeDocument/2006/relationships/hyperlink" Target="https://reopt.nlr.gov/tool/results/b5c4601b-ff9c-42c6-af1c-5b7f65eec31d" TargetMode="External"/><Relationship Id="rId14" Type="http://schemas.openxmlformats.org/officeDocument/2006/relationships/hyperlink" Target="https://drive.google.com/file/d/1jrpu40DzxTFYY6LiD8LJLWmYTYBMVds2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b5c4601b-ff9c-42c6-af1c-5b7f65eec31d" TargetMode="External"/><Relationship Id="rId19" Type="http://schemas.openxmlformats.org/officeDocument/2006/relationships/hyperlink" Target="https://drive.google.com/file/d/1jrpu40DzxTFYY6LiD8LJLWmYTYBMVds2/view?usp=drive_link" TargetMode="External"/><Relationship Id="rId114" Type="http://schemas.openxmlformats.org/officeDocument/2006/relationships/hyperlink" Target="https://drive.google.com/file/d/1jrpu40DzxTFYY6LiD8LJLWmYTYBMVds2/view?usp=drive_link" TargetMode="External"/><Relationship Id="rId18" Type="http://schemas.openxmlformats.org/officeDocument/2006/relationships/hyperlink" Target="https://drive.google.com/file/d/12MjGV739OVxdOUym7sn516wQM4dv51MR/view?usp=drive_link" TargetMode="External"/><Relationship Id="rId113" Type="http://schemas.openxmlformats.org/officeDocument/2006/relationships/hyperlink" Target="https://drive.google.com/file/d/12MjGV739OVxdOUym7sn516wQM4dv51MR/view?usp=drive_link" TargetMode="External"/><Relationship Id="rId112" Type="http://schemas.openxmlformats.org/officeDocument/2006/relationships/hyperlink" Target="https://drive.google.com/file/d/1Xl5WOtWsJzfbC-Y8nCxkp4Y4Mozirc_L/view?usp=drive_link" TargetMode="External"/><Relationship Id="rId111" Type="http://schemas.openxmlformats.org/officeDocument/2006/relationships/hyperlink" Target="https://reopt.nlr.gov/tool/results/de3cecf4-cd21-40c5-9d59-50835f338d0a" TargetMode="External"/><Relationship Id="rId84" Type="http://schemas.openxmlformats.org/officeDocument/2006/relationships/hyperlink" Target="https://drive.google.com/file/d/1jrpu40DzxTFYY6LiD8LJLWmYTYBMVds2/view?usp=drive_link" TargetMode="External"/><Relationship Id="rId83" Type="http://schemas.openxmlformats.org/officeDocument/2006/relationships/hyperlink" Target="https://drive.google.com/file/d/12MjGV739OVxdOUym7sn516wQM4dv51MR/view?usp=drive_link" TargetMode="External"/><Relationship Id="rId86" Type="http://schemas.openxmlformats.org/officeDocument/2006/relationships/hyperlink" Target="https://reopt.nlr.gov/tool/results/a03b3fe4-2c0d-4f82-9a09-c9052f5efd98" TargetMode="External"/><Relationship Id="rId85" Type="http://schemas.openxmlformats.org/officeDocument/2006/relationships/hyperlink" Target="https://reopt.nlr.gov/tool/results/0e87e50e-4a65-48fb-a6cf-0a0d8a9b9f47" TargetMode="External"/><Relationship Id="rId88" Type="http://schemas.openxmlformats.org/officeDocument/2006/relationships/hyperlink" Target="https://drive.google.com/file/d/12MjGV739OVxdOUym7sn516wQM4dv51MR/view?usp=drive_link" TargetMode="External"/><Relationship Id="rId150" Type="http://schemas.openxmlformats.org/officeDocument/2006/relationships/hyperlink" Target="https://reopt.nlr.gov/tool/results/80f21dca-1469-48cd-88b1-0f9b172cb2f8" TargetMode="External"/><Relationship Id="rId87" Type="http://schemas.openxmlformats.org/officeDocument/2006/relationships/hyperlink" Target="https://drive.google.com/file/d/1Xl5WOtWsJzfbC-Y8nCxkp4Y4Mozirc_L/view?usp=drive_link" TargetMode="External"/><Relationship Id="rId89" Type="http://schemas.openxmlformats.org/officeDocument/2006/relationships/hyperlink" Target="https://drive.google.com/file/d/1jrpu40DzxTFYY6LiD8LJLWmYTYBMVds2/view?usp=drive_link" TargetMode="External"/><Relationship Id="rId80" Type="http://schemas.openxmlformats.org/officeDocument/2006/relationships/hyperlink" Target="https://reopt.nlr.gov/tool/results/e063b0da-6395-402f-8e45-a2e0ab6da1da" TargetMode="External"/><Relationship Id="rId82" Type="http://schemas.openxmlformats.org/officeDocument/2006/relationships/hyperlink" Target="https://drive.google.com/file/d/1Xl5WOtWsJzfbC-Y8nCxkp4Y4Mozirc_L/view?usp=drive_link" TargetMode="External"/><Relationship Id="rId81" Type="http://schemas.openxmlformats.org/officeDocument/2006/relationships/hyperlink" Target="https://reopt.nlr.gov/tool/results/0e87e50e-4a65-48fb-a6cf-0a0d8a9b9f47" TargetMode="External"/><Relationship Id="rId1" Type="http://schemas.openxmlformats.org/officeDocument/2006/relationships/hyperlink" Target="https://reopt.nlr.gov/tool/results/6aa842d4-0dec-4ac8-aabe-96d656faeb84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149" Type="http://schemas.openxmlformats.org/officeDocument/2006/relationships/hyperlink" Target="https://drive.google.com/file/d/1jrpu40DzxTFYY6LiD8LJLWmYTYBMVds2/view?usp=drive_link" TargetMode="External"/><Relationship Id="rId4" Type="http://schemas.openxmlformats.org/officeDocument/2006/relationships/hyperlink" Target="https://drive.google.com/file/d/1jrpu40DzxTFYY6LiD8LJLWmYTYBMVds2/view?usp=drive_link" TargetMode="External"/><Relationship Id="rId148" Type="http://schemas.openxmlformats.org/officeDocument/2006/relationships/hyperlink" Target="https://drive.google.com/file/d/12MjGV739OVxdOUym7sn516wQM4dv51MR/view?usp=drive_link" TargetMode="External"/><Relationship Id="rId9" Type="http://schemas.openxmlformats.org/officeDocument/2006/relationships/hyperlink" Target="https://drive.google.com/file/d/1jrpu40DzxTFYY6LiD8LJLWmYTYBMVds2/view?usp=drive_link" TargetMode="External"/><Relationship Id="rId143" Type="http://schemas.openxmlformats.org/officeDocument/2006/relationships/hyperlink" Target="https://drive.google.com/file/d/12MjGV739OVxdOUym7sn516wQM4dv51MR/view?usp=drive_link" TargetMode="External"/><Relationship Id="rId142" Type="http://schemas.openxmlformats.org/officeDocument/2006/relationships/hyperlink" Target="https://drive.google.com/file/d/1Xl5WOtWsJzfbC-Y8nCxkp4Y4Mozirc_L/view?usp=drive_link" TargetMode="External"/><Relationship Id="rId141" Type="http://schemas.openxmlformats.org/officeDocument/2006/relationships/hyperlink" Target="https://reopt.nlr.gov/tool/results/0265608c-4323-40ec-9e38-f36abb5637a7" TargetMode="External"/><Relationship Id="rId140" Type="http://schemas.openxmlformats.org/officeDocument/2006/relationships/hyperlink" Target="https://reopt.nlr.gov/tool/results/37caf5ee-ecc4-43aa-bd88-fedd4bc5203c" TargetMode="External"/><Relationship Id="rId5" Type="http://schemas.openxmlformats.org/officeDocument/2006/relationships/hyperlink" Target="https://reopt.nlr.gov/tool/results/6aa842d4-0dec-4ac8-aabe-96d656faeb84" TargetMode="External"/><Relationship Id="rId147" Type="http://schemas.openxmlformats.org/officeDocument/2006/relationships/hyperlink" Target="https://drive.google.com/file/d/1Xl5WOtWsJzfbC-Y8nCxkp4Y4Mozirc_L/view?usp=drive_link" TargetMode="External"/><Relationship Id="rId6" Type="http://schemas.openxmlformats.org/officeDocument/2006/relationships/hyperlink" Target="https://reopt.nlr.gov/tool/results/f021faf4-1751-4934-a9f5-dce3cf60342d" TargetMode="External"/><Relationship Id="rId146" Type="http://schemas.openxmlformats.org/officeDocument/2006/relationships/hyperlink" Target="https://reopt.nlr.gov/tool/results/edaabb24-358a-48be-8039-cde08c98f02d" TargetMode="External"/><Relationship Id="rId7" Type="http://schemas.openxmlformats.org/officeDocument/2006/relationships/hyperlink" Target="https://drive.google.com/file/d/1Xl5WOtWsJzfbC-Y8nCxkp4Y4Mozirc_L/view?usp=drive_link" TargetMode="External"/><Relationship Id="rId145" Type="http://schemas.openxmlformats.org/officeDocument/2006/relationships/hyperlink" Target="https://reopt.nlr.gov/tool/results/80f21dca-1469-48cd-88b1-0f9b172cb2f8" TargetMode="External"/><Relationship Id="rId8" Type="http://schemas.openxmlformats.org/officeDocument/2006/relationships/hyperlink" Target="https://drive.google.com/file/d/12MjGV739OVxdOUym7sn516wQM4dv51MR/view?usp=drive_link" TargetMode="External"/><Relationship Id="rId144" Type="http://schemas.openxmlformats.org/officeDocument/2006/relationships/hyperlink" Target="https://drive.google.com/file/d/1jrpu40DzxTFYY6LiD8LJLWmYTYBMVds2/view?usp=drive_link" TargetMode="External"/><Relationship Id="rId73" Type="http://schemas.openxmlformats.org/officeDocument/2006/relationships/hyperlink" Target="https://drive.google.com/file/d/12MjGV739OVxdOUym7sn516wQM4dv51MR/view?usp=drive_link" TargetMode="External"/><Relationship Id="rId72" Type="http://schemas.openxmlformats.org/officeDocument/2006/relationships/hyperlink" Target="https://drive.google.com/file/d/1Xl5WOtWsJzfbC-Y8nCxkp4Y4Mozirc_L/view?usp=drive_link" TargetMode="External"/><Relationship Id="rId75" Type="http://schemas.openxmlformats.org/officeDocument/2006/relationships/hyperlink" Target="https://reopt.nlr.gov/tool/results/4e609e0b-3bea-453e-b2f7-d31fa0b51ba2" TargetMode="External"/><Relationship Id="rId74" Type="http://schemas.openxmlformats.org/officeDocument/2006/relationships/hyperlink" Target="https://drive.google.com/file/d/1jrpu40DzxTFYY6LiD8LJLWmYTYBMVds2/view?usp=drive_link" TargetMode="External"/><Relationship Id="rId77" Type="http://schemas.openxmlformats.org/officeDocument/2006/relationships/hyperlink" Target="https://drive.google.com/file/d/1Xl5WOtWsJzfbC-Y8nCxkp4Y4Mozirc_L/view?usp=drive_link" TargetMode="External"/><Relationship Id="rId76" Type="http://schemas.openxmlformats.org/officeDocument/2006/relationships/hyperlink" Target="https://reopt.nlr.gov/tool/results/e063b0da-6395-402f-8e45-a2e0ab6da1da" TargetMode="External"/><Relationship Id="rId79" Type="http://schemas.openxmlformats.org/officeDocument/2006/relationships/hyperlink" Target="https://drive.google.com/file/d/1jrpu40DzxTFYY6LiD8LJLWmYTYBMVds2/view?usp=drive_link" TargetMode="External"/><Relationship Id="rId78" Type="http://schemas.openxmlformats.org/officeDocument/2006/relationships/hyperlink" Target="https://drive.google.com/file/d/12MjGV739OVxdOUym7sn516wQM4dv51MR/view?usp=drive_link" TargetMode="External"/><Relationship Id="rId71" Type="http://schemas.openxmlformats.org/officeDocument/2006/relationships/hyperlink" Target="https://reopt.nlr.gov/tool/results/4e609e0b-3bea-453e-b2f7-d31fa0b51ba2" TargetMode="External"/><Relationship Id="rId70" Type="http://schemas.openxmlformats.org/officeDocument/2006/relationships/hyperlink" Target="https://reopt.nlr.gov/tool/results/0ce77430-2964-4c5b-ba6c-40e7ae2d1f06" TargetMode="External"/><Relationship Id="rId139" Type="http://schemas.openxmlformats.org/officeDocument/2006/relationships/hyperlink" Target="https://drive.google.com/file/d/1jrpu40DzxTFYY6LiD8LJLWmYTYBMVds2/view?usp=drive_link" TargetMode="External"/><Relationship Id="rId138" Type="http://schemas.openxmlformats.org/officeDocument/2006/relationships/hyperlink" Target="https://drive.google.com/file/d/12MjGV739OVxdOUym7sn516wQM4dv51MR/view?usp=drive_link" TargetMode="External"/><Relationship Id="rId137" Type="http://schemas.openxmlformats.org/officeDocument/2006/relationships/hyperlink" Target="https://drive.google.com/file/d/1Xl5WOtWsJzfbC-Y8nCxkp4Y4Mozirc_L/view?usp=drive_link" TargetMode="External"/><Relationship Id="rId132" Type="http://schemas.openxmlformats.org/officeDocument/2006/relationships/hyperlink" Target="https://drive.google.com/file/d/1Xl5WOtWsJzfbC-Y8nCxkp4Y4Mozirc_L/view?usp=drive_link" TargetMode="External"/><Relationship Id="rId131" Type="http://schemas.openxmlformats.org/officeDocument/2006/relationships/hyperlink" Target="https://reopt.nlr.gov/tool/results/a9b9a0b6-fb2b-4d15-8d51-e7565a4c9a34" TargetMode="External"/><Relationship Id="rId130" Type="http://schemas.openxmlformats.org/officeDocument/2006/relationships/hyperlink" Target="https://reopt.nlr.gov/tool/results/250e5903-0007-4b11-9f1d-647e759df612" TargetMode="External"/><Relationship Id="rId136" Type="http://schemas.openxmlformats.org/officeDocument/2006/relationships/hyperlink" Target="https://reopt.nlr.gov/tool/results/71b047bd-9065-46b6-b94d-ee0d706679f2" TargetMode="External"/><Relationship Id="rId135" Type="http://schemas.openxmlformats.org/officeDocument/2006/relationships/hyperlink" Target="https://reopt.nlr.gov/tool/results/ac50376a-4719-48cd-8c6b-4c41b6a8dcbb" TargetMode="External"/><Relationship Id="rId134" Type="http://schemas.openxmlformats.org/officeDocument/2006/relationships/hyperlink" Target="https://drive.google.com/file/d/1jrpu40DzxTFYY6LiD8LJLWmYTYBMVds2/view?usp=drive_link" TargetMode="External"/><Relationship Id="rId133" Type="http://schemas.openxmlformats.org/officeDocument/2006/relationships/hyperlink" Target="https://drive.google.com/file/d/12MjGV739OVxdOUym7sn516wQM4dv51MR/view?usp=drive_link" TargetMode="External"/><Relationship Id="rId62" Type="http://schemas.openxmlformats.org/officeDocument/2006/relationships/hyperlink" Target="https://drive.google.com/file/d/1Xl5WOtWsJzfbC-Y8nCxkp4Y4Mozirc_L/view?usp=drive_link" TargetMode="External"/><Relationship Id="rId61" Type="http://schemas.openxmlformats.org/officeDocument/2006/relationships/hyperlink" Target="https://reopt.nlr.gov/tool/results/0bfdad04-70a5-43d0-80a8-e092109fc59f" TargetMode="External"/><Relationship Id="rId64" Type="http://schemas.openxmlformats.org/officeDocument/2006/relationships/hyperlink" Target="https://drive.google.com/file/d/1jrpu40DzxTFYY6LiD8LJLWmYTYBMVds2/view?usp=drive_link" TargetMode="External"/><Relationship Id="rId63" Type="http://schemas.openxmlformats.org/officeDocument/2006/relationships/hyperlink" Target="https://drive.google.com/file/d/12MjGV739OVxdOUym7sn516wQM4dv51MR/view?usp=drive_link" TargetMode="External"/><Relationship Id="rId66" Type="http://schemas.openxmlformats.org/officeDocument/2006/relationships/hyperlink" Target="https://reopt.nlr.gov/tool/results/0ce77430-2964-4c5b-ba6c-40e7ae2d1f06" TargetMode="External"/><Relationship Id="rId172" Type="http://schemas.openxmlformats.org/officeDocument/2006/relationships/hyperlink" Target="https://drive.google.com/file/d/1Xl5WOtWsJzfbC-Y8nCxkp4Y4Mozirc_L/view?usp=drive_link" TargetMode="External"/><Relationship Id="rId65" Type="http://schemas.openxmlformats.org/officeDocument/2006/relationships/hyperlink" Target="https://reopt.nlr.gov/tool/results/0bfdad04-70a5-43d0-80a8-e092109fc59f" TargetMode="External"/><Relationship Id="rId171" Type="http://schemas.openxmlformats.org/officeDocument/2006/relationships/hyperlink" Target="https://reopt.nlr.gov/tool/results/0e87e50e-4a65-48fb-a6cf-0a0d8a9b9f47" TargetMode="External"/><Relationship Id="rId68" Type="http://schemas.openxmlformats.org/officeDocument/2006/relationships/hyperlink" Target="https://drive.google.com/file/d/12MjGV739OVxdOUym7sn516wQM4dv51MR/view?usp=drive_link" TargetMode="External"/><Relationship Id="rId170" Type="http://schemas.openxmlformats.org/officeDocument/2006/relationships/hyperlink" Target="https://drive.google.com/file/d/1jrpu40DzxTFYY6LiD8LJLWmYTYBMVds2/view?usp=drive_link" TargetMode="External"/><Relationship Id="rId67" Type="http://schemas.openxmlformats.org/officeDocument/2006/relationships/hyperlink" Target="https://drive.google.com/file/d/1Xl5WOtWsJzfbC-Y8nCxkp4Y4Mozirc_L/view?usp=drive_link" TargetMode="External"/><Relationship Id="rId60" Type="http://schemas.openxmlformats.org/officeDocument/2006/relationships/hyperlink" Target="https://reopt.nlr.gov/tool/results/232c1b4d-172a-43f1-ba7c-e43b0fbea3dd" TargetMode="External"/><Relationship Id="rId165" Type="http://schemas.openxmlformats.org/officeDocument/2006/relationships/hyperlink" Target="https://drive.google.com/file/d/12MjGV739OVxdOUym7sn516wQM4dv51MR/view?usp=drive_link" TargetMode="External"/><Relationship Id="rId69" Type="http://schemas.openxmlformats.org/officeDocument/2006/relationships/hyperlink" Target="https://drive.google.com/file/d/1jrpu40DzxTFYY6LiD8LJLWmYTYBMVds2/view?usp=drive_link" TargetMode="External"/><Relationship Id="rId164" Type="http://schemas.openxmlformats.org/officeDocument/2006/relationships/hyperlink" Target="https://drive.google.com/file/d/1Xl5WOtWsJzfbC-Y8nCxkp4Y4Mozirc_L/view?usp=drive_link" TargetMode="External"/><Relationship Id="rId163" Type="http://schemas.openxmlformats.org/officeDocument/2006/relationships/hyperlink" Target="https://reopt.nlr.gov/tool/results/4e609e0b-3bea-453e-b2f7-d31fa0b51ba2" TargetMode="External"/><Relationship Id="rId162" Type="http://schemas.openxmlformats.org/officeDocument/2006/relationships/hyperlink" Target="https://drive.google.com/file/d/1jrpu40DzxTFYY6LiD8LJLWmYTYBMVds2/view?usp=drive_link" TargetMode="External"/><Relationship Id="rId169" Type="http://schemas.openxmlformats.org/officeDocument/2006/relationships/hyperlink" Target="https://drive.google.com/file/d/12MjGV739OVxdOUym7sn516wQM4dv51MR/view?usp=drive_link" TargetMode="External"/><Relationship Id="rId168" Type="http://schemas.openxmlformats.org/officeDocument/2006/relationships/hyperlink" Target="https://drive.google.com/file/d/1Xl5WOtWsJzfbC-Y8nCxkp4Y4Mozirc_L/view?usp=drive_link" TargetMode="External"/><Relationship Id="rId167" Type="http://schemas.openxmlformats.org/officeDocument/2006/relationships/hyperlink" Target="https://reopt.nlr.gov/tool/results/e063b0da-6395-402f-8e45-a2e0ab6da1da" TargetMode="External"/><Relationship Id="rId166" Type="http://schemas.openxmlformats.org/officeDocument/2006/relationships/hyperlink" Target="https://drive.google.com/file/d/1jrpu40DzxTFYY6LiD8LJLWmYTYBMVds2/view?usp=drive_link" TargetMode="External"/><Relationship Id="rId51" Type="http://schemas.openxmlformats.org/officeDocument/2006/relationships/hyperlink" Target="https://reopt.nlr.gov/tool/results/a10c1814-f016-4bbc-bb69-7ad9b36c5c8d" TargetMode="External"/><Relationship Id="rId50" Type="http://schemas.openxmlformats.org/officeDocument/2006/relationships/hyperlink" Target="https://reopt.nlr.gov/tool/results/35876e26-9015-477d-ac01-78aad273d09f" TargetMode="External"/><Relationship Id="rId53" Type="http://schemas.openxmlformats.org/officeDocument/2006/relationships/hyperlink" Target="https://drive.google.com/file/d/12MjGV739OVxdOUym7sn516wQM4dv51MR/view?usp=drive_link" TargetMode="External"/><Relationship Id="rId52" Type="http://schemas.openxmlformats.org/officeDocument/2006/relationships/hyperlink" Target="https://drive.google.com/file/d/1Xl5WOtWsJzfbC-Y8nCxkp4Y4Mozirc_L/view?usp=drive_link" TargetMode="External"/><Relationship Id="rId55" Type="http://schemas.openxmlformats.org/officeDocument/2006/relationships/hyperlink" Target="https://reopt.nlr.gov/tool/results/a10c1814-f016-4bbc-bb69-7ad9b36c5c8d" TargetMode="External"/><Relationship Id="rId161" Type="http://schemas.openxmlformats.org/officeDocument/2006/relationships/hyperlink" Target="https://drive.google.com/file/d/12MjGV739OVxdOUym7sn516wQM4dv51MR/view?usp=drive_link" TargetMode="External"/><Relationship Id="rId54" Type="http://schemas.openxmlformats.org/officeDocument/2006/relationships/hyperlink" Target="https://drive.google.com/file/d/1jrpu40DzxTFYY6LiD8LJLWmYTYBMVds2/view?usp=drive_link" TargetMode="External"/><Relationship Id="rId160" Type="http://schemas.openxmlformats.org/officeDocument/2006/relationships/hyperlink" Target="https://drive.google.com/file/d/1Xl5WOtWsJzfbC-Y8nCxkp4Y4Mozirc_L/view?usp=drive_link" TargetMode="External"/><Relationship Id="rId57" Type="http://schemas.openxmlformats.org/officeDocument/2006/relationships/hyperlink" Target="https://drive.google.com/file/d/1Xl5WOtWsJzfbC-Y8nCxkp4Y4Mozirc_L/view?usp=drive_link" TargetMode="External"/><Relationship Id="rId56" Type="http://schemas.openxmlformats.org/officeDocument/2006/relationships/hyperlink" Target="https://reopt.nlr.gov/tool/results/232c1b4d-172a-43f1-ba7c-e43b0fbea3dd" TargetMode="External"/><Relationship Id="rId159" Type="http://schemas.openxmlformats.org/officeDocument/2006/relationships/hyperlink" Target="https://reopt.nlr.gov/tool/results/0ce77430-2964-4c5b-ba6c-40e7ae2d1f06" TargetMode="External"/><Relationship Id="rId59" Type="http://schemas.openxmlformats.org/officeDocument/2006/relationships/hyperlink" Target="https://drive.google.com/file/d/1jrpu40DzxTFYY6LiD8LJLWmYTYBMVds2/view?usp=drive_link" TargetMode="External"/><Relationship Id="rId154" Type="http://schemas.openxmlformats.org/officeDocument/2006/relationships/hyperlink" Target="https://drive.google.com/file/d/1jrpu40DzxTFYY6LiD8LJLWmYTYBMVds2/view?usp=drive_link" TargetMode="External"/><Relationship Id="rId58" Type="http://schemas.openxmlformats.org/officeDocument/2006/relationships/hyperlink" Target="https://drive.google.com/file/d/12MjGV739OVxdOUym7sn516wQM4dv51MR/view?usp=drive_link" TargetMode="External"/><Relationship Id="rId153" Type="http://schemas.openxmlformats.org/officeDocument/2006/relationships/hyperlink" Target="https://drive.google.com/file/d/12MjGV739OVxdOUym7sn516wQM4dv51MR/view?usp=drive_link" TargetMode="External"/><Relationship Id="rId152" Type="http://schemas.openxmlformats.org/officeDocument/2006/relationships/hyperlink" Target="https://drive.google.com/file/d/1Xl5WOtWsJzfbC-Y8nCxkp4Y4Mozirc_L/view?usp=drive_link" TargetMode="External"/><Relationship Id="rId151" Type="http://schemas.openxmlformats.org/officeDocument/2006/relationships/hyperlink" Target="https://reopt.nlr.gov/tool/results/0bfdad04-70a5-43d0-80a8-e092109fc59f" TargetMode="External"/><Relationship Id="rId158" Type="http://schemas.openxmlformats.org/officeDocument/2006/relationships/hyperlink" Target="https://drive.google.com/file/d/1jrpu40DzxTFYY6LiD8LJLWmYTYBMVds2/view?usp=drive_link" TargetMode="External"/><Relationship Id="rId157" Type="http://schemas.openxmlformats.org/officeDocument/2006/relationships/hyperlink" Target="https://drive.google.com/file/d/12MjGV739OVxdOUym7sn516wQM4dv51MR/view?usp=drive_link" TargetMode="External"/><Relationship Id="rId156" Type="http://schemas.openxmlformats.org/officeDocument/2006/relationships/hyperlink" Target="https://drive.google.com/file/d/1Xl5WOtWsJzfbC-Y8nCxkp4Y4Mozirc_L/view?usp=drive_link" TargetMode="External"/><Relationship Id="rId155" Type="http://schemas.openxmlformats.org/officeDocument/2006/relationships/hyperlink" Target="https://reopt.nlr.gov/tool/results/0bfdad04-70a5-43d0-80a8-e092109fc59f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reopt.nlr.gov/tool/results/6dbda7ad-080e-4295-88d6-22f42a0ab253" TargetMode="External"/><Relationship Id="rId42" Type="http://schemas.openxmlformats.org/officeDocument/2006/relationships/hyperlink" Target="https://drive.google.com/file/d/1Xl5WOtWsJzfbC-Y8nCxkp4Y4Mozirc_L/view?usp=drive_link" TargetMode="External"/><Relationship Id="rId41" Type="http://schemas.openxmlformats.org/officeDocument/2006/relationships/hyperlink" Target="https://reopt.nlr.gov/tool/results/3e4ff33f-dad0-46d4-a69a-3852275167ac" TargetMode="External"/><Relationship Id="rId44" Type="http://schemas.openxmlformats.org/officeDocument/2006/relationships/hyperlink" Target="https://drive.google.com/file/d/16UAUdtQOC8qioWbnM096MsZ4fLvZ1Viy/view?usp=drive_link" TargetMode="External"/><Relationship Id="rId43" Type="http://schemas.openxmlformats.org/officeDocument/2006/relationships/hyperlink" Target="https://drive.google.com/file/d/12MjGV739OVxdOUym7sn516wQM4dv51MR/view?usp=drive_link" TargetMode="External"/><Relationship Id="rId46" Type="http://schemas.openxmlformats.org/officeDocument/2006/relationships/hyperlink" Target="https://reopt.nlr.gov/tool/results/077af785-21c9-46fd-a5b1-eaddb4deb0a4" TargetMode="External"/><Relationship Id="rId45" Type="http://schemas.openxmlformats.org/officeDocument/2006/relationships/hyperlink" Target="https://reopt.nlr.gov/tool/results/3e4ff33f-dad0-46d4-a69a-3852275167ac" TargetMode="External"/><Relationship Id="rId48" Type="http://schemas.openxmlformats.org/officeDocument/2006/relationships/hyperlink" Target="https://drive.google.com/file/d/12MjGV739OVxdOUym7sn516wQM4dv51MR/view?usp=drive_link" TargetMode="External"/><Relationship Id="rId47" Type="http://schemas.openxmlformats.org/officeDocument/2006/relationships/hyperlink" Target="https://drive.google.com/file/d/1Xl5WOtWsJzfbC-Y8nCxkp4Y4Mozirc_L/view?usp=drive_link" TargetMode="External"/><Relationship Id="rId49" Type="http://schemas.openxmlformats.org/officeDocument/2006/relationships/hyperlink" Target="https://drive.google.com/file/d/16UAUdtQOC8qioWbnM096MsZ4fLvZ1Viy/view?usp=drive_link" TargetMode="External"/><Relationship Id="rId31" Type="http://schemas.openxmlformats.org/officeDocument/2006/relationships/hyperlink" Target="https://reopt.nlr.gov/tool/results/8fb3e024-5973-4e0a-9bcd-a97963d14c2d" TargetMode="External"/><Relationship Id="rId30" Type="http://schemas.openxmlformats.org/officeDocument/2006/relationships/hyperlink" Target="https://reopt.nlr.gov/tool/results/c6a994d9-eeba-41fc-8481-f9e1364a7b32" TargetMode="External"/><Relationship Id="rId33" Type="http://schemas.openxmlformats.org/officeDocument/2006/relationships/hyperlink" Target="https://drive.google.com/file/d/12MjGV739OVxdOUym7sn516wQM4dv51MR/view?usp=drive_link" TargetMode="External"/><Relationship Id="rId32" Type="http://schemas.openxmlformats.org/officeDocument/2006/relationships/hyperlink" Target="https://drive.google.com/file/d/1Xl5WOtWsJzfbC-Y8nCxkp4Y4Mozirc_L/view?usp=drive_link" TargetMode="External"/><Relationship Id="rId35" Type="http://schemas.openxmlformats.org/officeDocument/2006/relationships/hyperlink" Target="https://reopt.nlr.gov/tool/results/8fb3e024-5973-4e0a-9bcd-a97963d14c2d" TargetMode="External"/><Relationship Id="rId34" Type="http://schemas.openxmlformats.org/officeDocument/2006/relationships/hyperlink" Target="https://drive.google.com/file/d/16UAUdtQOC8qioWbnM096MsZ4fLvZ1Viy/view?usp=drive_link" TargetMode="External"/><Relationship Id="rId37" Type="http://schemas.openxmlformats.org/officeDocument/2006/relationships/hyperlink" Target="https://drive.google.com/file/d/1Xl5WOtWsJzfbC-Y8nCxkp4Y4Mozirc_L/view?usp=drive_link" TargetMode="External"/><Relationship Id="rId36" Type="http://schemas.openxmlformats.org/officeDocument/2006/relationships/hyperlink" Target="https://reopt.nlr.gov/tool/results/6dbda7ad-080e-4295-88d6-22f42a0ab253" TargetMode="External"/><Relationship Id="rId39" Type="http://schemas.openxmlformats.org/officeDocument/2006/relationships/hyperlink" Target="https://drive.google.com/file/d/16UAUdtQOC8qioWbnM096MsZ4fLvZ1Viy/view?usp=drive_link" TargetMode="External"/><Relationship Id="rId38" Type="http://schemas.openxmlformats.org/officeDocument/2006/relationships/hyperlink" Target="https://drive.google.com/file/d/12MjGV739OVxdOUym7sn516wQM4dv51MR/view?usp=drive_link" TargetMode="External"/><Relationship Id="rId20" Type="http://schemas.openxmlformats.org/officeDocument/2006/relationships/hyperlink" Target="https://reopt.nlr.gov/tool/results/0a180d2e-3524-4a3c-93c3-3c0d3365c6e6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099cd938-9788-47fb-9913-a9f3e39bd709" TargetMode="External"/><Relationship Id="rId24" Type="http://schemas.openxmlformats.org/officeDocument/2006/relationships/hyperlink" Target="https://drive.google.com/file/d/16UAUdtQOC8qioWbnM096MsZ4fLvZ1Viy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26" Type="http://schemas.openxmlformats.org/officeDocument/2006/relationships/hyperlink" Target="https://reopt.nlr.gov/tool/results/c6a994d9-eeba-41fc-8481-f9e1364a7b32" TargetMode="External"/><Relationship Id="rId25" Type="http://schemas.openxmlformats.org/officeDocument/2006/relationships/hyperlink" Target="https://reopt.nlr.gov/tool/results/099cd938-9788-47fb-9913-a9f3e39bd709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29" Type="http://schemas.openxmlformats.org/officeDocument/2006/relationships/hyperlink" Target="https://drive.google.com/file/d/16UAUdtQOC8qioWbnM096MsZ4fLvZ1Viy/view?usp=drive_link" TargetMode="External"/><Relationship Id="rId11" Type="http://schemas.openxmlformats.org/officeDocument/2006/relationships/hyperlink" Target="https://reopt.nlr.gov/tool/results/df27845a-413c-4db8-bf0f-9b6ae61d8aca" TargetMode="External"/><Relationship Id="rId10" Type="http://schemas.openxmlformats.org/officeDocument/2006/relationships/hyperlink" Target="https://reopt.nlr.gov/tool/results/187be519-7748-4965-bdcc-54b9b5e67d4f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15" Type="http://schemas.openxmlformats.org/officeDocument/2006/relationships/hyperlink" Target="https://reopt.nlr.gov/tool/results/df27845a-413c-4db8-bf0f-9b6ae61d8aca" TargetMode="External"/><Relationship Id="rId14" Type="http://schemas.openxmlformats.org/officeDocument/2006/relationships/hyperlink" Target="https://drive.google.com/file/d/16UAUdtQOC8qioWbnM096MsZ4fLvZ1Viy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0a180d2e-3524-4a3c-93c3-3c0d3365c6e6" TargetMode="External"/><Relationship Id="rId19" Type="http://schemas.openxmlformats.org/officeDocument/2006/relationships/hyperlink" Target="https://drive.google.com/file/d/16UAUdtQOC8qioWbnM096MsZ4fLvZ1Viy/view?usp=drive_link" TargetMode="External"/><Relationship Id="rId18" Type="http://schemas.openxmlformats.org/officeDocument/2006/relationships/hyperlink" Target="https://drive.google.com/file/d/12MjGV739OVxdOUym7sn516wQM4dv51MR/view?usp=drive_link" TargetMode="External"/><Relationship Id="rId1" Type="http://schemas.openxmlformats.org/officeDocument/2006/relationships/hyperlink" Target="https://reopt.nlr.gov/tool/results/679494fb-4431-497e-af5f-fe0883b75fc2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6UAUdtQOC8qioWbnM096MsZ4fLvZ1Viy/view?usp=drive_link" TargetMode="External"/><Relationship Id="rId9" Type="http://schemas.openxmlformats.org/officeDocument/2006/relationships/hyperlink" Target="https://drive.google.com/file/d/16UAUdtQOC8qioWbnM096MsZ4fLvZ1Viy/view?usp=drive_link" TargetMode="External"/><Relationship Id="rId5" Type="http://schemas.openxmlformats.org/officeDocument/2006/relationships/hyperlink" Target="https://reopt.nlr.gov/tool/results/679494fb-4431-497e-af5f-fe0883b75fc2" TargetMode="External"/><Relationship Id="rId6" Type="http://schemas.openxmlformats.org/officeDocument/2006/relationships/hyperlink" Target="https://reopt.nlr.gov/tool/results/187be519-7748-4965-bdcc-54b9b5e67d4f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61" Type="http://schemas.openxmlformats.org/officeDocument/2006/relationships/drawing" Target="../drawings/drawing9.xml"/><Relationship Id="rId60" Type="http://schemas.openxmlformats.org/officeDocument/2006/relationships/hyperlink" Target="https://reopt.nlr.gov/tool/results/9c455576-5556-401d-802f-6b18b5cce4d7" TargetMode="External"/><Relationship Id="rId51" Type="http://schemas.openxmlformats.org/officeDocument/2006/relationships/hyperlink" Target="https://reopt.nlr.gov/tool/results/8b2c747b-2589-4345-9fac-1eeb41cd1327" TargetMode="External"/><Relationship Id="rId50" Type="http://schemas.openxmlformats.org/officeDocument/2006/relationships/hyperlink" Target="https://reopt.nlr.gov/tool/results/077af785-21c9-46fd-a5b1-eaddb4deb0a4" TargetMode="External"/><Relationship Id="rId53" Type="http://schemas.openxmlformats.org/officeDocument/2006/relationships/hyperlink" Target="https://drive.google.com/file/d/12MjGV739OVxdOUym7sn516wQM4dv51MR/view?usp=drive_link" TargetMode="External"/><Relationship Id="rId52" Type="http://schemas.openxmlformats.org/officeDocument/2006/relationships/hyperlink" Target="https://drive.google.com/file/d/1Xl5WOtWsJzfbC-Y8nCxkp4Y4Mozirc_L/view?usp=drive_link" TargetMode="External"/><Relationship Id="rId55" Type="http://schemas.openxmlformats.org/officeDocument/2006/relationships/hyperlink" Target="https://reopt.nlr.gov/tool/results/8b2c747b-2589-4345-9fac-1eeb41cd1327" TargetMode="External"/><Relationship Id="rId54" Type="http://schemas.openxmlformats.org/officeDocument/2006/relationships/hyperlink" Target="https://drive.google.com/file/d/16UAUdtQOC8qioWbnM096MsZ4fLvZ1Viy/view?usp=drive_link" TargetMode="External"/><Relationship Id="rId57" Type="http://schemas.openxmlformats.org/officeDocument/2006/relationships/hyperlink" Target="https://drive.google.com/file/d/1Xl5WOtWsJzfbC-Y8nCxkp4Y4Mozirc_L/view?usp=drive_link" TargetMode="External"/><Relationship Id="rId56" Type="http://schemas.openxmlformats.org/officeDocument/2006/relationships/hyperlink" Target="https://reopt.nlr.gov/tool/results/9c455576-5556-401d-802f-6b18b5cce4d7" TargetMode="External"/><Relationship Id="rId59" Type="http://schemas.openxmlformats.org/officeDocument/2006/relationships/hyperlink" Target="https://drive.google.com/file/d/16UAUdtQOC8qioWbnM096MsZ4fLvZ1Viy/view?usp=drive_link" TargetMode="External"/><Relationship Id="rId58" Type="http://schemas.openxmlformats.org/officeDocument/2006/relationships/hyperlink" Target="https://drive.google.com/file/d/12MjGV739OVxdOUym7sn516wQM4dv51MR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reopt.nlr.gov/tool/results/2bc108cf-508a-4f5b-b346-340a1398f6f3" TargetMode="External"/><Relationship Id="rId42" Type="http://schemas.openxmlformats.org/officeDocument/2006/relationships/hyperlink" Target="https://drive.google.com/file/d/1Xl5WOtWsJzfbC-Y8nCxkp4Y4Mozirc_L/view?usp=drive_link" TargetMode="External"/><Relationship Id="rId41" Type="http://schemas.openxmlformats.org/officeDocument/2006/relationships/hyperlink" Target="https://reopt.nlr.gov/tool/results/d31bb429-e500-44d7-9ae6-eb5a24eec5cd" TargetMode="External"/><Relationship Id="rId44" Type="http://schemas.openxmlformats.org/officeDocument/2006/relationships/hyperlink" Target="https://drive.google.com/file/d/1ierMR5pp-9e4Oh1RndrdR-TIpi-DdJ91/view?usp=drive_link" TargetMode="External"/><Relationship Id="rId43" Type="http://schemas.openxmlformats.org/officeDocument/2006/relationships/hyperlink" Target="https://drive.google.com/file/d/12MjGV739OVxdOUym7sn516wQM4dv51MR/view?usp=drive_link" TargetMode="External"/><Relationship Id="rId46" Type="http://schemas.openxmlformats.org/officeDocument/2006/relationships/hyperlink" Target="https://reopt.nlr.gov/tool/results/ab46eb1b-a17f-405b-916f-56fb12e676c7" TargetMode="External"/><Relationship Id="rId45" Type="http://schemas.openxmlformats.org/officeDocument/2006/relationships/hyperlink" Target="https://reopt.nlr.gov/tool/results/d31bb429-e500-44d7-9ae6-eb5a24eec5cd" TargetMode="External"/><Relationship Id="rId48" Type="http://schemas.openxmlformats.org/officeDocument/2006/relationships/hyperlink" Target="https://drive.google.com/file/d/12MjGV739OVxdOUym7sn516wQM4dv51MR/view?usp=drive_link" TargetMode="External"/><Relationship Id="rId47" Type="http://schemas.openxmlformats.org/officeDocument/2006/relationships/hyperlink" Target="https://drive.google.com/file/d/1Xl5WOtWsJzfbC-Y8nCxkp4Y4Mozirc_L/view?usp=drive_link" TargetMode="External"/><Relationship Id="rId49" Type="http://schemas.openxmlformats.org/officeDocument/2006/relationships/hyperlink" Target="https://drive.google.com/file/d/1ierMR5pp-9e4Oh1RndrdR-TIpi-DdJ91/view?usp=drive_link" TargetMode="External"/><Relationship Id="rId31" Type="http://schemas.openxmlformats.org/officeDocument/2006/relationships/hyperlink" Target="https://reopt.nlr.gov/tool/results/42d42608-fbcc-45e0-9edb-8f484aededc8" TargetMode="External"/><Relationship Id="rId30" Type="http://schemas.openxmlformats.org/officeDocument/2006/relationships/hyperlink" Target="https://reopt.nlr.gov/tool/results/9cc54a1b-ce37-4eb3-a1a2-8c5d18e57087" TargetMode="External"/><Relationship Id="rId33" Type="http://schemas.openxmlformats.org/officeDocument/2006/relationships/hyperlink" Target="https://drive.google.com/file/d/12MjGV739OVxdOUym7sn516wQM4dv51MR/view?usp=drive_link" TargetMode="External"/><Relationship Id="rId32" Type="http://schemas.openxmlformats.org/officeDocument/2006/relationships/hyperlink" Target="https://drive.google.com/file/d/1Xl5WOtWsJzfbC-Y8nCxkp4Y4Mozirc_L/view?usp=drive_link" TargetMode="External"/><Relationship Id="rId35" Type="http://schemas.openxmlformats.org/officeDocument/2006/relationships/hyperlink" Target="https://reopt.nlr.gov/tool/results/42d42608-fbcc-45e0-9edb-8f484aededc8" TargetMode="External"/><Relationship Id="rId34" Type="http://schemas.openxmlformats.org/officeDocument/2006/relationships/hyperlink" Target="https://drive.google.com/file/d/1ierMR5pp-9e4Oh1RndrdR-TIpi-DdJ91/view?usp=drive_link" TargetMode="External"/><Relationship Id="rId37" Type="http://schemas.openxmlformats.org/officeDocument/2006/relationships/hyperlink" Target="https://drive.google.com/file/d/1Xl5WOtWsJzfbC-Y8nCxkp4Y4Mozirc_L/view?usp=drive_link" TargetMode="External"/><Relationship Id="rId36" Type="http://schemas.openxmlformats.org/officeDocument/2006/relationships/hyperlink" Target="https://reopt.nlr.gov/tool/results/2bc108cf-508a-4f5b-b346-340a1398f6f3" TargetMode="External"/><Relationship Id="rId39" Type="http://schemas.openxmlformats.org/officeDocument/2006/relationships/hyperlink" Target="https://drive.google.com/file/d/1ierMR5pp-9e4Oh1RndrdR-TIpi-DdJ91/view?usp=drive_link" TargetMode="External"/><Relationship Id="rId38" Type="http://schemas.openxmlformats.org/officeDocument/2006/relationships/hyperlink" Target="https://drive.google.com/file/d/12MjGV739OVxdOUym7sn516wQM4dv51MR/view?usp=drive_link" TargetMode="External"/><Relationship Id="rId20" Type="http://schemas.openxmlformats.org/officeDocument/2006/relationships/hyperlink" Target="https://reopt.nlr.gov/tool/results/7a419902-3fae-4382-a22c-3670e0f61f0e" TargetMode="External"/><Relationship Id="rId22" Type="http://schemas.openxmlformats.org/officeDocument/2006/relationships/hyperlink" Target="https://drive.google.com/file/d/1Xl5WOtWsJzfbC-Y8nCxkp4Y4Mozirc_L/view?usp=drive_link" TargetMode="External"/><Relationship Id="rId21" Type="http://schemas.openxmlformats.org/officeDocument/2006/relationships/hyperlink" Target="https://reopt.nlr.gov/tool/results/b0729df1-94bb-4208-be51-769ee445a5ce" TargetMode="External"/><Relationship Id="rId24" Type="http://schemas.openxmlformats.org/officeDocument/2006/relationships/hyperlink" Target="https://drive.google.com/file/d/1ierMR5pp-9e4Oh1RndrdR-TIpi-DdJ91/view?usp=drive_link" TargetMode="External"/><Relationship Id="rId23" Type="http://schemas.openxmlformats.org/officeDocument/2006/relationships/hyperlink" Target="https://drive.google.com/file/d/12MjGV739OVxdOUym7sn516wQM4dv51MR/view?usp=drive_link" TargetMode="External"/><Relationship Id="rId26" Type="http://schemas.openxmlformats.org/officeDocument/2006/relationships/hyperlink" Target="https://reopt.nlr.gov/tool/results/9cc54a1b-ce37-4eb3-a1a2-8c5d18e57087" TargetMode="External"/><Relationship Id="rId25" Type="http://schemas.openxmlformats.org/officeDocument/2006/relationships/hyperlink" Target="https://reopt.nlr.gov/tool/results/b0729df1-94bb-4208-be51-769ee445a5ce" TargetMode="External"/><Relationship Id="rId28" Type="http://schemas.openxmlformats.org/officeDocument/2006/relationships/hyperlink" Target="https://drive.google.com/file/d/12MjGV739OVxdOUym7sn516wQM4dv51MR/view?usp=drive_link" TargetMode="External"/><Relationship Id="rId27" Type="http://schemas.openxmlformats.org/officeDocument/2006/relationships/hyperlink" Target="https://drive.google.com/file/d/1Xl5WOtWsJzfbC-Y8nCxkp4Y4Mozirc_L/view?usp=drive_link" TargetMode="External"/><Relationship Id="rId29" Type="http://schemas.openxmlformats.org/officeDocument/2006/relationships/hyperlink" Target="https://drive.google.com/file/d/1ierMR5pp-9e4Oh1RndrdR-TIpi-DdJ91/view?usp=drive_link" TargetMode="External"/><Relationship Id="rId11" Type="http://schemas.openxmlformats.org/officeDocument/2006/relationships/hyperlink" Target="https://reopt.nlr.gov/tool/results/76cc132a-2562-4d22-94e9-c99994ce654c" TargetMode="External"/><Relationship Id="rId10" Type="http://schemas.openxmlformats.org/officeDocument/2006/relationships/hyperlink" Target="https://reopt.nlr.gov/tool/results/d7b78581-7895-4151-a1d4-b0fcd2cabf7d" TargetMode="External"/><Relationship Id="rId13" Type="http://schemas.openxmlformats.org/officeDocument/2006/relationships/hyperlink" Target="https://drive.google.com/file/d/12MjGV739OVxdOUym7sn516wQM4dv51MR/view?usp=drive_link" TargetMode="External"/><Relationship Id="rId12" Type="http://schemas.openxmlformats.org/officeDocument/2006/relationships/hyperlink" Target="https://drive.google.com/file/d/1Xl5WOtWsJzfbC-Y8nCxkp4Y4Mozirc_L/view?usp=drive_link" TargetMode="External"/><Relationship Id="rId15" Type="http://schemas.openxmlformats.org/officeDocument/2006/relationships/hyperlink" Target="https://reopt.nlr.gov/tool/results/76cc132a-2562-4d22-94e9-c99994ce654c" TargetMode="External"/><Relationship Id="rId14" Type="http://schemas.openxmlformats.org/officeDocument/2006/relationships/hyperlink" Target="https://drive.google.com/file/d/1ierMR5pp-9e4Oh1RndrdR-TIpi-DdJ91/view?usp=drive_link" TargetMode="External"/><Relationship Id="rId17" Type="http://schemas.openxmlformats.org/officeDocument/2006/relationships/hyperlink" Target="https://drive.google.com/file/d/1Xl5WOtWsJzfbC-Y8nCxkp4Y4Mozirc_L/view?usp=drive_link" TargetMode="External"/><Relationship Id="rId16" Type="http://schemas.openxmlformats.org/officeDocument/2006/relationships/hyperlink" Target="https://reopt.nlr.gov/tool/results/7a419902-3fae-4382-a22c-3670e0f61f0e" TargetMode="External"/><Relationship Id="rId19" Type="http://schemas.openxmlformats.org/officeDocument/2006/relationships/hyperlink" Target="https://drive.google.com/file/d/1ierMR5pp-9e4Oh1RndrdR-TIpi-DdJ91/view?usp=drive_link" TargetMode="External"/><Relationship Id="rId18" Type="http://schemas.openxmlformats.org/officeDocument/2006/relationships/hyperlink" Target="https://drive.google.com/file/d/12MjGV739OVxdOUym7sn516wQM4dv51MR/view?usp=drive_link" TargetMode="External"/><Relationship Id="rId1" Type="http://schemas.openxmlformats.org/officeDocument/2006/relationships/hyperlink" Target="https://reopt.nlr.gov/tool/results/f7c9e9d5-13cd-4c5e-98d8-9071fc03babe" TargetMode="External"/><Relationship Id="rId2" Type="http://schemas.openxmlformats.org/officeDocument/2006/relationships/hyperlink" Target="https://drive.google.com/file/d/1Xl5WOtWsJzfbC-Y8nCxkp4Y4Mozirc_L/view?usp=drive_link" TargetMode="External"/><Relationship Id="rId3" Type="http://schemas.openxmlformats.org/officeDocument/2006/relationships/hyperlink" Target="https://drive.google.com/file/d/12MjGV739OVxdOUym7sn516wQM4dv51MR/view?usp=drive_link" TargetMode="External"/><Relationship Id="rId4" Type="http://schemas.openxmlformats.org/officeDocument/2006/relationships/hyperlink" Target="https://drive.google.com/file/d/1ierMR5pp-9e4Oh1RndrdR-TIpi-DdJ91/view?usp=drive_link" TargetMode="External"/><Relationship Id="rId9" Type="http://schemas.openxmlformats.org/officeDocument/2006/relationships/hyperlink" Target="https://drive.google.com/file/d/1ierMR5pp-9e4Oh1RndrdR-TIpi-DdJ91/view?usp=drive_link" TargetMode="External"/><Relationship Id="rId5" Type="http://schemas.openxmlformats.org/officeDocument/2006/relationships/hyperlink" Target="https://reopt.nlr.gov/tool/results/f7c9e9d5-13cd-4c5e-98d8-9071fc03babe" TargetMode="External"/><Relationship Id="rId6" Type="http://schemas.openxmlformats.org/officeDocument/2006/relationships/hyperlink" Target="https://reopt.nlr.gov/tool/results/d7b78581-7895-4151-a1d4-b0fcd2cabf7d" TargetMode="External"/><Relationship Id="rId7" Type="http://schemas.openxmlformats.org/officeDocument/2006/relationships/hyperlink" Target="https://drive.google.com/file/d/1Xl5WOtWsJzfbC-Y8nCxkp4Y4Mozirc_L/view?usp=drive_link" TargetMode="External"/><Relationship Id="rId8" Type="http://schemas.openxmlformats.org/officeDocument/2006/relationships/hyperlink" Target="https://drive.google.com/file/d/12MjGV739OVxdOUym7sn516wQM4dv51MR/view?usp=drive_link" TargetMode="External"/><Relationship Id="rId61" Type="http://schemas.openxmlformats.org/officeDocument/2006/relationships/drawing" Target="../drawings/drawing10.xml"/><Relationship Id="rId60" Type="http://schemas.openxmlformats.org/officeDocument/2006/relationships/hyperlink" Target="https://reopt.nlr.gov/tool/results/25b43ef0-3dc1-4e20-8e91-f5e388948a34" TargetMode="External"/><Relationship Id="rId51" Type="http://schemas.openxmlformats.org/officeDocument/2006/relationships/hyperlink" Target="https://reopt.nlr.gov/tool/results/a70400b1-39c3-4375-bfd6-258087be540b" TargetMode="External"/><Relationship Id="rId50" Type="http://schemas.openxmlformats.org/officeDocument/2006/relationships/hyperlink" Target="https://reopt.nlr.gov/tool/results/ab46eb1b-a17f-405b-916f-56fb12e676c7" TargetMode="External"/><Relationship Id="rId53" Type="http://schemas.openxmlformats.org/officeDocument/2006/relationships/hyperlink" Target="https://drive.google.com/file/d/12MjGV739OVxdOUym7sn516wQM4dv51MR/view?usp=drive_link" TargetMode="External"/><Relationship Id="rId52" Type="http://schemas.openxmlformats.org/officeDocument/2006/relationships/hyperlink" Target="https://drive.google.com/file/d/1Xl5WOtWsJzfbC-Y8nCxkp4Y4Mozirc_L/view?usp=drive_link" TargetMode="External"/><Relationship Id="rId55" Type="http://schemas.openxmlformats.org/officeDocument/2006/relationships/hyperlink" Target="https://reopt.nlr.gov/tool/results/a70400b1-39c3-4375-bfd6-258087be540b" TargetMode="External"/><Relationship Id="rId54" Type="http://schemas.openxmlformats.org/officeDocument/2006/relationships/hyperlink" Target="https://drive.google.com/file/d/1ierMR5pp-9e4Oh1RndrdR-TIpi-DdJ91/view?usp=drive_link" TargetMode="External"/><Relationship Id="rId57" Type="http://schemas.openxmlformats.org/officeDocument/2006/relationships/hyperlink" Target="https://drive.google.com/file/d/1Xl5WOtWsJzfbC-Y8nCxkp4Y4Mozirc_L/view?usp=drive_link" TargetMode="External"/><Relationship Id="rId56" Type="http://schemas.openxmlformats.org/officeDocument/2006/relationships/hyperlink" Target="https://reopt.nlr.gov/tool/results/25b43ef0-3dc1-4e20-8e91-f5e388948a34" TargetMode="External"/><Relationship Id="rId59" Type="http://schemas.openxmlformats.org/officeDocument/2006/relationships/hyperlink" Target="https://drive.google.com/file/d/1ierMR5pp-9e4Oh1RndrdR-TIpi-DdJ91/view?usp=drive_link" TargetMode="External"/><Relationship Id="rId58" Type="http://schemas.openxmlformats.org/officeDocument/2006/relationships/hyperlink" Target="https://drive.google.com/file/d/12MjGV739OVxdOUym7sn516wQM4dv51MR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4" width="14.25"/>
    <col customWidth="1" min="5" max="5" width="17.0"/>
    <col customWidth="1" min="6" max="6" width="17.38"/>
    <col customWidth="1" min="7" max="7" width="19.38"/>
    <col customWidth="1" min="8" max="9" width="17.0"/>
    <col customWidth="1" min="10" max="10" width="20.75"/>
    <col customWidth="1" min="11" max="11" width="13.5"/>
    <col customWidth="1" min="12" max="12" width="17.0"/>
    <col customWidth="1" min="13" max="13" width="14.38"/>
    <col customWidth="1" min="14" max="19" width="8.63"/>
    <col customWidth="1" min="20" max="20" width="15.38"/>
    <col customWidth="1" min="21" max="22" width="8.63"/>
    <col customWidth="1" min="23" max="23" width="10.0"/>
    <col customWidth="1" min="24" max="24" width="13.25"/>
    <col customWidth="1" min="25" max="26" width="10.38"/>
    <col customWidth="1" min="27" max="27" width="17.38"/>
    <col customWidth="1" min="28" max="28" width="15.25"/>
    <col customWidth="1" min="29" max="29" width="13.13"/>
    <col customWidth="1" min="30" max="31" width="10.38"/>
    <col customWidth="1" min="32" max="32" width="11.38"/>
    <col customWidth="1" min="33" max="33" width="10.13"/>
    <col customWidth="1" min="34" max="34" width="14.0"/>
    <col customWidth="1" min="35" max="35" width="10.0"/>
    <col customWidth="1" min="36" max="36" width="10.13"/>
    <col customWidth="1" min="37" max="38" width="8.63"/>
    <col customWidth="1" min="39" max="41" width="11.0"/>
    <col customWidth="1" min="42" max="42" width="11.88"/>
    <col customWidth="1" min="43" max="44" width="10.63"/>
    <col customWidth="1" min="45" max="45" width="12.75"/>
    <col customWidth="1" min="46" max="46" width="11.38"/>
    <col customWidth="1" min="47" max="47" width="14.88"/>
    <col customWidth="1" min="48" max="48" width="15.0"/>
    <col customWidth="1" min="49" max="49" width="15.25"/>
    <col customWidth="1" min="50" max="50" width="18.25"/>
    <col customWidth="1" min="51" max="51" width="15.25"/>
    <col customWidth="1" min="52" max="52" width="10.88"/>
    <col customWidth="1" min="53" max="59" width="10.0"/>
    <col customWidth="1" min="60" max="61" width="10.63"/>
    <col customWidth="1" min="62" max="62" width="10.88"/>
  </cols>
  <sheetData>
    <row r="1" ht="54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14</v>
      </c>
      <c r="S1" s="2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2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5" t="s">
        <v>3</v>
      </c>
      <c r="AI1" s="6" t="s">
        <v>32</v>
      </c>
      <c r="AJ1" s="7" t="s">
        <v>33</v>
      </c>
      <c r="AK1" s="8" t="s">
        <v>34</v>
      </c>
      <c r="AL1" s="9" t="s">
        <v>35</v>
      </c>
      <c r="AM1" s="9" t="s">
        <v>36</v>
      </c>
      <c r="AN1" s="9" t="s">
        <v>37</v>
      </c>
      <c r="AO1" s="9" t="s">
        <v>38</v>
      </c>
      <c r="AP1" s="9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10" t="s">
        <v>44</v>
      </c>
      <c r="AV1" s="10" t="s">
        <v>45</v>
      </c>
      <c r="AW1" s="10" t="s">
        <v>46</v>
      </c>
      <c r="AX1" s="10" t="s">
        <v>47</v>
      </c>
      <c r="AY1" s="10" t="s">
        <v>48</v>
      </c>
      <c r="AZ1" s="10" t="s">
        <v>49</v>
      </c>
      <c r="BA1" s="10" t="s">
        <v>50</v>
      </c>
      <c r="BB1" s="10" t="s">
        <v>51</v>
      </c>
      <c r="BC1" s="10" t="s">
        <v>52</v>
      </c>
      <c r="BD1" s="10" t="s">
        <v>53</v>
      </c>
      <c r="BE1" s="10" t="s">
        <v>54</v>
      </c>
      <c r="BF1" s="10" t="s">
        <v>55</v>
      </c>
      <c r="BG1" s="10" t="s">
        <v>56</v>
      </c>
      <c r="BH1" s="10"/>
      <c r="BI1" s="10" t="s">
        <v>57</v>
      </c>
      <c r="BJ1" s="10" t="s">
        <v>58</v>
      </c>
    </row>
    <row r="2" ht="14.25" customHeight="1">
      <c r="A2" s="11" t="s">
        <v>59</v>
      </c>
      <c r="B2" s="12"/>
      <c r="C2" s="13"/>
      <c r="D2" s="14" t="s">
        <v>60</v>
      </c>
      <c r="E2" s="5" t="s">
        <v>61</v>
      </c>
      <c r="F2" s="11" t="s">
        <v>59</v>
      </c>
      <c r="G2" s="13" t="s">
        <v>62</v>
      </c>
      <c r="H2" s="13" t="s">
        <v>63</v>
      </c>
      <c r="I2" s="15">
        <v>0.0</v>
      </c>
      <c r="J2" s="5" t="s">
        <v>64</v>
      </c>
      <c r="K2" s="5" t="s">
        <v>65</v>
      </c>
      <c r="L2" s="16" t="s">
        <v>66</v>
      </c>
      <c r="M2" s="17">
        <v>2.01</v>
      </c>
      <c r="N2" s="18" t="s">
        <v>67</v>
      </c>
      <c r="O2" s="19">
        <v>2024.0</v>
      </c>
      <c r="P2" s="20" t="s">
        <v>68</v>
      </c>
      <c r="Q2" s="19">
        <v>100.0</v>
      </c>
      <c r="R2" s="19">
        <v>2024.0</v>
      </c>
      <c r="S2" s="19">
        <v>83.07</v>
      </c>
      <c r="T2" s="21">
        <v>25.0</v>
      </c>
      <c r="U2" s="19">
        <v>2.5</v>
      </c>
      <c r="V2" s="19">
        <v>6.0</v>
      </c>
      <c r="W2" s="19">
        <v>7.8</v>
      </c>
      <c r="X2" s="22">
        <v>0.0</v>
      </c>
      <c r="Y2" s="23" t="s">
        <v>69</v>
      </c>
      <c r="Z2" s="24" t="s">
        <v>70</v>
      </c>
      <c r="AA2" s="25">
        <v>2220.0</v>
      </c>
      <c r="AB2" s="22" t="s">
        <v>71</v>
      </c>
      <c r="AC2" s="22">
        <v>335.4</v>
      </c>
      <c r="AD2" s="22">
        <v>10.7</v>
      </c>
      <c r="AE2" s="22">
        <v>0.0</v>
      </c>
      <c r="AF2" s="26" t="s">
        <v>72</v>
      </c>
      <c r="AG2" s="27">
        <v>0.0</v>
      </c>
      <c r="AH2" s="14" t="s">
        <v>73</v>
      </c>
      <c r="AI2" s="28"/>
      <c r="AJ2" s="29"/>
      <c r="AK2" s="30"/>
      <c r="AL2" s="31"/>
      <c r="AM2" s="13"/>
      <c r="AN2" s="31"/>
      <c r="AO2" s="13"/>
      <c r="AP2" s="13"/>
      <c r="AQ2" s="13"/>
      <c r="AR2" s="13"/>
      <c r="AS2" s="13"/>
      <c r="AT2" s="31"/>
      <c r="AU2" s="13"/>
      <c r="AV2" s="13"/>
      <c r="AW2" s="13"/>
      <c r="AX2" s="32"/>
      <c r="AY2" s="13"/>
      <c r="AZ2" s="33">
        <v>355438.0</v>
      </c>
      <c r="BA2" s="33">
        <v>355438.0</v>
      </c>
      <c r="BB2" s="34"/>
      <c r="BD2" s="34"/>
      <c r="BE2" s="34"/>
      <c r="BF2" s="33">
        <v>916753.0</v>
      </c>
      <c r="BG2" s="34">
        <v>916753.0</v>
      </c>
      <c r="BH2" s="34"/>
      <c r="BI2" s="34"/>
      <c r="BJ2" s="13"/>
    </row>
    <row r="3" ht="14.25" customHeight="1">
      <c r="A3" s="11" t="s">
        <v>74</v>
      </c>
      <c r="B3" s="13"/>
      <c r="C3" s="12"/>
      <c r="D3" s="14" t="s">
        <v>75</v>
      </c>
      <c r="E3" s="5" t="s">
        <v>61</v>
      </c>
      <c r="F3" s="11" t="s">
        <v>74</v>
      </c>
      <c r="G3" s="13" t="s">
        <v>62</v>
      </c>
      <c r="H3" s="13" t="s">
        <v>63</v>
      </c>
      <c r="I3" s="15">
        <v>0.0</v>
      </c>
      <c r="J3" s="5" t="s">
        <v>64</v>
      </c>
      <c r="K3" s="5" t="s">
        <v>65</v>
      </c>
      <c r="L3" s="16" t="s">
        <v>66</v>
      </c>
      <c r="M3" s="17">
        <v>2.01</v>
      </c>
      <c r="N3" s="18" t="s">
        <v>67</v>
      </c>
      <c r="O3" s="19">
        <v>2024.0</v>
      </c>
      <c r="P3" s="20" t="s">
        <v>68</v>
      </c>
      <c r="Q3" s="19">
        <v>100.0</v>
      </c>
      <c r="R3" s="19">
        <v>2024.0</v>
      </c>
      <c r="S3" s="19">
        <v>83.07</v>
      </c>
      <c r="T3" s="21">
        <v>10.0</v>
      </c>
      <c r="U3" s="19">
        <v>2.5</v>
      </c>
      <c r="V3" s="19">
        <v>6.0</v>
      </c>
      <c r="W3" s="19">
        <v>7.8</v>
      </c>
      <c r="X3" s="22">
        <v>0.0</v>
      </c>
      <c r="Y3" s="23" t="s">
        <v>69</v>
      </c>
      <c r="Z3" s="24" t="s">
        <v>70</v>
      </c>
      <c r="AA3" s="25">
        <v>0.0</v>
      </c>
      <c r="AB3" s="22" t="s">
        <v>71</v>
      </c>
      <c r="AC3" s="22">
        <v>335.4</v>
      </c>
      <c r="AD3" s="22">
        <v>10.7</v>
      </c>
      <c r="AE3" s="22">
        <v>0.0</v>
      </c>
      <c r="AF3" s="26" t="s">
        <v>72</v>
      </c>
      <c r="AG3" s="27">
        <v>0.0</v>
      </c>
      <c r="AH3" s="14" t="s">
        <v>76</v>
      </c>
      <c r="AI3" s="28"/>
      <c r="AJ3" s="29"/>
      <c r="AK3" s="30"/>
      <c r="AL3" s="31"/>
      <c r="AM3" s="13"/>
      <c r="AN3" s="31"/>
      <c r="AO3" s="13"/>
      <c r="AP3" s="13"/>
      <c r="AQ3" s="13"/>
      <c r="AR3" s="13"/>
      <c r="AS3" s="13"/>
      <c r="AT3" s="31"/>
      <c r="AU3" s="13"/>
      <c r="AV3" s="13"/>
      <c r="AW3" s="13"/>
      <c r="AX3" s="32"/>
      <c r="AY3" s="13"/>
      <c r="AZ3" s="33">
        <v>107850.0</v>
      </c>
      <c r="BA3" s="33">
        <v>107850.0</v>
      </c>
      <c r="BB3" s="34"/>
      <c r="BD3" s="34"/>
      <c r="BE3" s="34"/>
      <c r="BF3" s="33">
        <v>316497.0</v>
      </c>
      <c r="BG3" s="34">
        <v>316497.0</v>
      </c>
      <c r="BH3" s="34"/>
      <c r="BI3" s="34"/>
      <c r="BJ3" s="13"/>
    </row>
    <row r="4" ht="14.25" customHeight="1">
      <c r="AW4" s="13"/>
    </row>
    <row r="5" ht="14.25" customHeight="1">
      <c r="A5" s="11" t="s">
        <v>77</v>
      </c>
      <c r="B5" s="12"/>
      <c r="C5" s="13"/>
      <c r="D5" s="14" t="s">
        <v>78</v>
      </c>
      <c r="E5" s="5" t="s">
        <v>61</v>
      </c>
      <c r="F5" s="11" t="s">
        <v>59</v>
      </c>
      <c r="G5" s="13" t="s">
        <v>62</v>
      </c>
      <c r="H5" s="13" t="s">
        <v>63</v>
      </c>
      <c r="I5" s="15">
        <v>0.0</v>
      </c>
      <c r="J5" s="5" t="s">
        <v>64</v>
      </c>
      <c r="K5" s="5" t="s">
        <v>65</v>
      </c>
      <c r="L5" s="16" t="s">
        <v>66</v>
      </c>
      <c r="M5" s="17">
        <v>2.01</v>
      </c>
      <c r="N5" s="18" t="s">
        <v>67</v>
      </c>
      <c r="O5" s="19">
        <v>2024.0</v>
      </c>
      <c r="P5" s="20" t="s">
        <v>68</v>
      </c>
      <c r="Q5" s="19">
        <v>100.0</v>
      </c>
      <c r="R5" s="19">
        <v>2024.0</v>
      </c>
      <c r="S5" s="19">
        <v>83.07</v>
      </c>
      <c r="T5" s="21">
        <v>25.0</v>
      </c>
      <c r="U5" s="19">
        <v>2.5</v>
      </c>
      <c r="V5" s="19">
        <v>6.0</v>
      </c>
      <c r="W5" s="19">
        <v>7.8</v>
      </c>
      <c r="X5" s="22">
        <v>0.0</v>
      </c>
      <c r="Y5" s="23" t="s">
        <v>69</v>
      </c>
      <c r="Z5" s="24" t="s">
        <v>70</v>
      </c>
      <c r="AA5" s="25">
        <v>2220.0</v>
      </c>
      <c r="AB5" s="22" t="s">
        <v>71</v>
      </c>
      <c r="AC5" s="22">
        <v>335.4</v>
      </c>
      <c r="AD5" s="22">
        <v>10.7</v>
      </c>
      <c r="AE5" s="22">
        <v>0.0</v>
      </c>
      <c r="AF5" s="26" t="s">
        <v>72</v>
      </c>
      <c r="AG5" s="27">
        <v>0.0</v>
      </c>
      <c r="AH5" s="14" t="s">
        <v>79</v>
      </c>
      <c r="AI5" s="28"/>
      <c r="AJ5" s="29"/>
      <c r="AK5" s="30"/>
      <c r="AL5" s="31"/>
      <c r="AM5" s="13"/>
      <c r="AN5" s="31"/>
      <c r="AO5" s="13"/>
      <c r="AP5" s="13"/>
      <c r="AQ5" s="13"/>
      <c r="AR5" s="13"/>
      <c r="AS5" s="13"/>
      <c r="AT5" s="31"/>
      <c r="AU5" s="13"/>
      <c r="AV5" s="13"/>
      <c r="AW5" s="13"/>
      <c r="AX5" s="32"/>
      <c r="AY5" s="13"/>
      <c r="AZ5" s="33">
        <v>355438.0</v>
      </c>
      <c r="BA5" s="33">
        <v>355438.0</v>
      </c>
      <c r="BB5" s="34"/>
      <c r="BD5" s="34"/>
      <c r="BE5" s="34"/>
      <c r="BF5" s="33">
        <v>881918.0</v>
      </c>
      <c r="BG5" s="34">
        <v>881918.0</v>
      </c>
      <c r="BH5" s="34"/>
      <c r="BI5" s="34"/>
      <c r="BJ5" s="13"/>
    </row>
    <row r="6" ht="14.25" customHeight="1">
      <c r="A6" s="11" t="s">
        <v>80</v>
      </c>
      <c r="B6" s="13"/>
      <c r="C6" s="12"/>
      <c r="D6" s="14" t="s">
        <v>81</v>
      </c>
      <c r="E6" s="5" t="s">
        <v>61</v>
      </c>
      <c r="F6" s="11" t="s">
        <v>74</v>
      </c>
      <c r="G6" s="13" t="s">
        <v>62</v>
      </c>
      <c r="H6" s="13" t="s">
        <v>63</v>
      </c>
      <c r="I6" s="15">
        <v>0.0</v>
      </c>
      <c r="J6" s="5" t="s">
        <v>64</v>
      </c>
      <c r="K6" s="5" t="s">
        <v>65</v>
      </c>
      <c r="L6" s="16" t="s">
        <v>66</v>
      </c>
      <c r="M6" s="17">
        <v>2.01</v>
      </c>
      <c r="N6" s="18" t="s">
        <v>67</v>
      </c>
      <c r="O6" s="19">
        <v>2024.0</v>
      </c>
      <c r="P6" s="20" t="s">
        <v>68</v>
      </c>
      <c r="Q6" s="19">
        <v>100.0</v>
      </c>
      <c r="R6" s="19">
        <v>2024.0</v>
      </c>
      <c r="S6" s="19">
        <v>83.07</v>
      </c>
      <c r="T6" s="21">
        <v>10.0</v>
      </c>
      <c r="U6" s="19">
        <v>2.5</v>
      </c>
      <c r="V6" s="19">
        <v>6.0</v>
      </c>
      <c r="W6" s="19">
        <v>7.8</v>
      </c>
      <c r="X6" s="22">
        <v>0.0</v>
      </c>
      <c r="Y6" s="23" t="s">
        <v>69</v>
      </c>
      <c r="Z6" s="24" t="s">
        <v>70</v>
      </c>
      <c r="AA6" s="25">
        <v>0.0</v>
      </c>
      <c r="AB6" s="22" t="s">
        <v>71</v>
      </c>
      <c r="AC6" s="22">
        <v>335.4</v>
      </c>
      <c r="AD6" s="22">
        <v>10.7</v>
      </c>
      <c r="AE6" s="22">
        <v>0.0</v>
      </c>
      <c r="AF6" s="26" t="s">
        <v>72</v>
      </c>
      <c r="AG6" s="27">
        <v>0.0</v>
      </c>
      <c r="AH6" s="14" t="s">
        <v>82</v>
      </c>
      <c r="AI6" s="28"/>
      <c r="AJ6" s="29"/>
      <c r="AK6" s="30"/>
      <c r="AL6" s="31"/>
      <c r="AM6" s="13"/>
      <c r="AN6" s="31"/>
      <c r="AO6" s="13"/>
      <c r="AP6" s="13"/>
      <c r="AQ6" s="13"/>
      <c r="AR6" s="13"/>
      <c r="AS6" s="13"/>
      <c r="AT6" s="31"/>
      <c r="AU6" s="13"/>
      <c r="AV6" s="13"/>
      <c r="AW6" s="13"/>
      <c r="AX6" s="32"/>
      <c r="AY6" s="13"/>
      <c r="AZ6" s="33">
        <v>107850.0</v>
      </c>
      <c r="BA6" s="33">
        <v>107850.0</v>
      </c>
      <c r="BB6" s="34"/>
      <c r="BD6" s="34"/>
      <c r="BE6" s="34"/>
      <c r="BF6" s="33">
        <v>303549.0</v>
      </c>
      <c r="BG6" s="34">
        <v>303549.0</v>
      </c>
      <c r="BH6" s="34"/>
      <c r="BI6" s="34"/>
      <c r="BJ6" s="13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hyperlinks>
    <hyperlink r:id="rId1" ref="D2"/>
    <hyperlink r:id="rId2" ref="N2"/>
    <hyperlink r:id="rId3" ref="P2"/>
    <hyperlink r:id="rId4" ref="AH2"/>
    <hyperlink r:id="rId5" ref="D3"/>
    <hyperlink r:id="rId6" ref="N3"/>
    <hyperlink r:id="rId7" ref="P3"/>
    <hyperlink r:id="rId8" ref="AH3"/>
    <hyperlink r:id="rId9" ref="D5"/>
    <hyperlink r:id="rId10" ref="N5"/>
    <hyperlink r:id="rId11" ref="P5"/>
    <hyperlink r:id="rId12" ref="AH5"/>
    <hyperlink r:id="rId13" ref="D6"/>
    <hyperlink r:id="rId14" ref="N6"/>
    <hyperlink r:id="rId15" ref="P6"/>
    <hyperlink r:id="rId16" ref="AH6"/>
  </hyperlinks>
  <printOptions/>
  <pageMargins bottom="0.75" footer="0.0" header="0.0" left="0.7" right="0.7" top="0.75"/>
  <pageSetup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2.38"/>
    <col customWidth="1" min="3" max="3" width="12.88"/>
    <col customWidth="1" min="4" max="4" width="12.0"/>
    <col customWidth="1" min="5" max="5" width="13.5"/>
    <col customWidth="1" min="6" max="6" width="14.5"/>
    <col customWidth="1" min="7" max="9" width="14.25"/>
    <col customWidth="1" min="10" max="10" width="17.0"/>
    <col customWidth="1" min="11" max="11" width="23.88"/>
    <col customWidth="1" min="12" max="12" width="17.38"/>
    <col customWidth="1" min="13" max="13" width="19.38"/>
    <col customWidth="1" min="14" max="15" width="17.0"/>
    <col customWidth="1" min="16" max="16" width="20.75"/>
    <col customWidth="1" min="17" max="17" width="13.5"/>
    <col customWidth="1" min="18" max="19" width="13.13"/>
    <col customWidth="1" min="20" max="20" width="17.0"/>
    <col customWidth="1" min="21" max="21" width="14.38"/>
    <col customWidth="1" min="22" max="29" width="8.63"/>
    <col customWidth="1" min="30" max="30" width="10.0"/>
    <col customWidth="1" min="31" max="31" width="13.25"/>
    <col customWidth="1" min="32" max="33" width="10.38"/>
    <col customWidth="1" min="34" max="34" width="17.38"/>
    <col customWidth="1" min="35" max="35" width="10.38"/>
    <col customWidth="1" min="36" max="36" width="13.13"/>
    <col customWidth="1" min="37" max="38" width="10.38"/>
    <col customWidth="1" min="39" max="41" width="14.5"/>
    <col customWidth="1" min="42" max="42" width="11.38"/>
    <col customWidth="1" min="43" max="43" width="10.13"/>
    <col customWidth="1" min="44" max="44" width="9.13"/>
    <col customWidth="1" min="45" max="46" width="14.38"/>
    <col customWidth="1" min="47" max="55" width="14.25"/>
    <col customWidth="1" min="56" max="56" width="9.13"/>
    <col customWidth="1" min="57" max="57" width="9.75"/>
    <col customWidth="1" min="58" max="60" width="14.63"/>
    <col customWidth="1" min="61" max="61" width="57.38"/>
    <col customWidth="1" min="62" max="62" width="10.0"/>
    <col customWidth="1" min="63" max="64" width="10.13"/>
    <col customWidth="1" min="65" max="65" width="9.25"/>
    <col customWidth="1" min="66" max="66" width="8.63"/>
    <col customWidth="1" min="67" max="69" width="11.0"/>
    <col customWidth="1" min="70" max="70" width="11.88"/>
    <col customWidth="1" min="71" max="72" width="10.63"/>
    <col customWidth="1" min="73" max="73" width="12.75"/>
    <col customWidth="1" min="74" max="74" width="11.38"/>
    <col customWidth="1" min="75" max="75" width="14.88"/>
    <col customWidth="1" min="76" max="76" width="15.0"/>
    <col customWidth="1" min="77" max="77" width="15.25"/>
    <col customWidth="1" min="78" max="78" width="18.25"/>
    <col customWidth="1" min="79" max="79" width="10.88"/>
    <col customWidth="1" min="80" max="86" width="10.0"/>
    <col customWidth="1" min="87" max="88" width="10.63"/>
    <col customWidth="1" min="89" max="89" width="10.88"/>
  </cols>
  <sheetData>
    <row r="1" ht="54.0" customHeight="1">
      <c r="A1" s="1" t="s">
        <v>0</v>
      </c>
      <c r="B1" s="35" t="s">
        <v>83</v>
      </c>
      <c r="C1" s="35" t="s">
        <v>84</v>
      </c>
      <c r="D1" s="35" t="s">
        <v>85</v>
      </c>
      <c r="E1" s="35" t="s">
        <v>86</v>
      </c>
      <c r="F1" s="35" t="s">
        <v>87</v>
      </c>
      <c r="G1" s="2" t="s">
        <v>1</v>
      </c>
      <c r="H1" s="2" t="s">
        <v>2</v>
      </c>
      <c r="I1" s="3" t="s">
        <v>3</v>
      </c>
      <c r="J1" s="4" t="s">
        <v>4</v>
      </c>
      <c r="K1" s="4" t="s">
        <v>88</v>
      </c>
      <c r="L1" s="2" t="s">
        <v>5</v>
      </c>
      <c r="M1" s="2" t="s">
        <v>6</v>
      </c>
      <c r="N1" s="2" t="s">
        <v>7</v>
      </c>
      <c r="O1" s="2" t="s">
        <v>8</v>
      </c>
      <c r="P1" s="4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4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2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2" t="s">
        <v>23</v>
      </c>
      <c r="AH1" s="4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2" t="s">
        <v>31</v>
      </c>
      <c r="BC1" s="4" t="s">
        <v>101</v>
      </c>
      <c r="BD1" s="4" t="s">
        <v>102</v>
      </c>
      <c r="BE1" s="4" t="s">
        <v>103</v>
      </c>
      <c r="BF1" s="36" t="s">
        <v>104</v>
      </c>
      <c r="BG1" s="37" t="s">
        <v>30</v>
      </c>
      <c r="BH1" s="37" t="s">
        <v>31</v>
      </c>
      <c r="BI1" s="3" t="s">
        <v>3</v>
      </c>
      <c r="BJ1" s="6" t="s">
        <v>32</v>
      </c>
      <c r="BK1" s="38" t="s">
        <v>33</v>
      </c>
      <c r="BL1" s="38" t="s">
        <v>105</v>
      </c>
      <c r="BM1" s="8" t="s">
        <v>34</v>
      </c>
      <c r="BN1" s="9" t="s">
        <v>35</v>
      </c>
      <c r="BO1" s="9" t="s">
        <v>36</v>
      </c>
      <c r="BP1" s="9" t="s">
        <v>37</v>
      </c>
      <c r="BQ1" s="9" t="s">
        <v>38</v>
      </c>
      <c r="BR1" s="9" t="s">
        <v>39</v>
      </c>
      <c r="BS1" s="9" t="s">
        <v>40</v>
      </c>
      <c r="BT1" s="9" t="s">
        <v>41</v>
      </c>
      <c r="BU1" s="9" t="s">
        <v>42</v>
      </c>
      <c r="BV1" s="9" t="s">
        <v>43</v>
      </c>
      <c r="BW1" s="10" t="s">
        <v>44</v>
      </c>
      <c r="BX1" s="10" t="s">
        <v>106</v>
      </c>
      <c r="BY1" s="10" t="s">
        <v>46</v>
      </c>
      <c r="BZ1" s="10" t="s">
        <v>107</v>
      </c>
      <c r="CA1" s="10" t="s">
        <v>49</v>
      </c>
      <c r="CB1" s="10" t="s">
        <v>50</v>
      </c>
      <c r="CC1" s="10" t="s">
        <v>51</v>
      </c>
      <c r="CD1" s="10" t="s">
        <v>52</v>
      </c>
      <c r="CE1" s="10" t="s">
        <v>108</v>
      </c>
      <c r="CF1" s="10" t="s">
        <v>54</v>
      </c>
      <c r="CG1" s="10" t="s">
        <v>109</v>
      </c>
      <c r="CH1" s="10" t="s">
        <v>110</v>
      </c>
      <c r="CI1" s="10" t="s">
        <v>111</v>
      </c>
      <c r="CJ1" s="10" t="s">
        <v>112</v>
      </c>
      <c r="CK1" s="10" t="s">
        <v>58</v>
      </c>
    </row>
    <row r="2" ht="14.25" customHeight="1">
      <c r="A2" s="11" t="s">
        <v>113</v>
      </c>
      <c r="B2" s="39"/>
      <c r="C2" s="13"/>
      <c r="D2" s="13"/>
      <c r="E2" s="40"/>
      <c r="F2" s="13"/>
      <c r="G2" s="12"/>
      <c r="H2" s="13"/>
      <c r="I2" s="41" t="s">
        <v>113</v>
      </c>
      <c r="J2" s="42" t="s">
        <v>114</v>
      </c>
      <c r="K2" s="13" t="s">
        <v>115</v>
      </c>
      <c r="L2" s="11" t="s">
        <v>113</v>
      </c>
      <c r="M2" s="13" t="s">
        <v>62</v>
      </c>
      <c r="N2" s="13" t="s">
        <v>63</v>
      </c>
      <c r="O2" s="15">
        <v>8000.0</v>
      </c>
      <c r="P2" s="5" t="s">
        <v>116</v>
      </c>
      <c r="Q2" s="43" t="s">
        <v>117</v>
      </c>
      <c r="R2" s="44" t="s">
        <v>69</v>
      </c>
      <c r="S2" s="44" t="s">
        <v>69</v>
      </c>
      <c r="T2" s="16" t="s">
        <v>66</v>
      </c>
      <c r="U2" s="17">
        <v>2.01</v>
      </c>
      <c r="V2" s="18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9">
        <v>83.07</v>
      </c>
      <c r="AB2" s="21">
        <v>25.0</v>
      </c>
      <c r="AC2" s="19">
        <v>2.5</v>
      </c>
      <c r="AD2" s="19">
        <v>6.0</v>
      </c>
      <c r="AE2" s="19">
        <v>7.8</v>
      </c>
      <c r="AF2" s="22">
        <v>0.0</v>
      </c>
      <c r="AG2" s="23" t="s">
        <v>69</v>
      </c>
      <c r="AH2" s="45" t="s">
        <v>69</v>
      </c>
      <c r="AI2" s="46" t="s">
        <v>69</v>
      </c>
      <c r="AJ2" s="45" t="s">
        <v>69</v>
      </c>
      <c r="AK2" s="45" t="s">
        <v>69</v>
      </c>
      <c r="AL2" s="45" t="s">
        <v>69</v>
      </c>
      <c r="AM2" s="45" t="s">
        <v>69</v>
      </c>
      <c r="AN2" s="45" t="s">
        <v>69</v>
      </c>
      <c r="AO2" s="45" t="s">
        <v>69</v>
      </c>
      <c r="AP2" s="23" t="s">
        <v>69</v>
      </c>
      <c r="AQ2" s="23" t="s">
        <v>69</v>
      </c>
      <c r="AR2" s="23" t="s">
        <v>69</v>
      </c>
      <c r="AS2" s="23" t="s">
        <v>69</v>
      </c>
      <c r="AT2" s="23" t="s">
        <v>69</v>
      </c>
      <c r="AU2" s="23" t="s">
        <v>69</v>
      </c>
      <c r="AV2" s="23" t="s">
        <v>69</v>
      </c>
      <c r="AW2" s="23" t="s">
        <v>69</v>
      </c>
      <c r="AX2" s="23" t="s">
        <v>69</v>
      </c>
      <c r="AY2" s="23" t="s">
        <v>69</v>
      </c>
      <c r="AZ2" s="23" t="s">
        <v>69</v>
      </c>
      <c r="BA2" s="23" t="s">
        <v>69</v>
      </c>
      <c r="BB2" s="23" t="s">
        <v>69</v>
      </c>
      <c r="BC2" s="47">
        <v>0.0</v>
      </c>
      <c r="BD2" s="48" t="s">
        <v>118</v>
      </c>
      <c r="BE2" s="49">
        <v>1.0</v>
      </c>
      <c r="BF2" s="50">
        <v>10.0</v>
      </c>
      <c r="BG2" s="51" t="s">
        <v>72</v>
      </c>
      <c r="BH2" s="52">
        <v>0.0</v>
      </c>
      <c r="BI2" s="41" t="s">
        <v>113</v>
      </c>
      <c r="BJ2" s="53" t="s">
        <v>69</v>
      </c>
      <c r="BK2" s="54">
        <v>35.0</v>
      </c>
      <c r="BL2" s="55" t="s">
        <v>69</v>
      </c>
      <c r="BM2" s="56">
        <v>-86028.0</v>
      </c>
      <c r="BN2" s="57" t="s">
        <v>69</v>
      </c>
      <c r="BO2" s="57" t="s">
        <v>69</v>
      </c>
      <c r="BP2" s="57" t="s">
        <v>69</v>
      </c>
      <c r="BQ2" s="57" t="s">
        <v>69</v>
      </c>
      <c r="BR2" s="57" t="s">
        <v>69</v>
      </c>
      <c r="BS2" s="57" t="s">
        <v>69</v>
      </c>
      <c r="BT2" s="57" t="s">
        <v>69</v>
      </c>
      <c r="BU2" s="57" t="s">
        <v>69</v>
      </c>
      <c r="BV2" s="57" t="s">
        <v>69</v>
      </c>
      <c r="BW2" s="58">
        <v>44197.0</v>
      </c>
      <c r="BX2" s="59">
        <v>132850.0</v>
      </c>
      <c r="BY2" s="59">
        <f t="shared" ref="BY2:BY7" si="1">BX2-BW2</f>
        <v>88653</v>
      </c>
      <c r="BZ2" s="60">
        <v>0.0</v>
      </c>
      <c r="CA2" s="61">
        <v>8394.0</v>
      </c>
      <c r="CB2" s="61">
        <v>23773.0</v>
      </c>
      <c r="CC2" s="61">
        <f t="shared" ref="CC2:CC7" si="2">CB2-CA2</f>
        <v>15379</v>
      </c>
      <c r="CD2" s="61">
        <v>334284.0</v>
      </c>
      <c r="CE2" s="61">
        <v>946792.0</v>
      </c>
      <c r="CF2" s="61">
        <f t="shared" ref="CF2:CF7" si="3">CE2-CD2</f>
        <v>612508</v>
      </c>
      <c r="CG2" s="61">
        <v>860764.0</v>
      </c>
      <c r="CH2" s="61">
        <v>946792.0</v>
      </c>
      <c r="CI2" s="61">
        <f t="shared" ref="CI2:CI7" si="4">CH2-CG2</f>
        <v>86028</v>
      </c>
      <c r="CJ2" s="61">
        <v>-86028.0</v>
      </c>
      <c r="CK2" s="62">
        <v>0.0</v>
      </c>
    </row>
    <row r="3" ht="14.25" customHeight="1">
      <c r="A3" s="11" t="s">
        <v>119</v>
      </c>
      <c r="B3" s="39"/>
      <c r="C3" s="13"/>
      <c r="D3" s="13"/>
      <c r="E3" s="40"/>
      <c r="F3" s="13"/>
      <c r="G3" s="13"/>
      <c r="H3" s="12"/>
      <c r="I3" s="63" t="s">
        <v>119</v>
      </c>
      <c r="J3" s="42" t="s">
        <v>114</v>
      </c>
      <c r="K3" s="13" t="s">
        <v>115</v>
      </c>
      <c r="L3" s="11" t="s">
        <v>119</v>
      </c>
      <c r="M3" s="13" t="s">
        <v>62</v>
      </c>
      <c r="N3" s="13" t="s">
        <v>63</v>
      </c>
      <c r="O3" s="15">
        <v>8000.0</v>
      </c>
      <c r="P3" s="5" t="s">
        <v>116</v>
      </c>
      <c r="Q3" s="43" t="s">
        <v>117</v>
      </c>
      <c r="R3" s="44" t="s">
        <v>69</v>
      </c>
      <c r="S3" s="44" t="s">
        <v>69</v>
      </c>
      <c r="T3" s="16" t="s">
        <v>66</v>
      </c>
      <c r="U3" s="17">
        <v>2.01</v>
      </c>
      <c r="V3" s="18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9">
        <v>83.07</v>
      </c>
      <c r="AB3" s="21">
        <v>10.0</v>
      </c>
      <c r="AC3" s="19">
        <v>2.5</v>
      </c>
      <c r="AD3" s="19">
        <v>6.0</v>
      </c>
      <c r="AE3" s="19">
        <v>7.8</v>
      </c>
      <c r="AF3" s="22">
        <v>0.0</v>
      </c>
      <c r="AG3" s="23" t="s">
        <v>69</v>
      </c>
      <c r="AH3" s="45" t="s">
        <v>69</v>
      </c>
      <c r="AI3" s="46" t="s">
        <v>69</v>
      </c>
      <c r="AJ3" s="45" t="s">
        <v>69</v>
      </c>
      <c r="AK3" s="45" t="s">
        <v>69</v>
      </c>
      <c r="AL3" s="45" t="s">
        <v>69</v>
      </c>
      <c r="AM3" s="45" t="s">
        <v>69</v>
      </c>
      <c r="AN3" s="45" t="s">
        <v>69</v>
      </c>
      <c r="AO3" s="45" t="s">
        <v>69</v>
      </c>
      <c r="AP3" s="23" t="s">
        <v>69</v>
      </c>
      <c r="AQ3" s="23" t="s">
        <v>69</v>
      </c>
      <c r="AR3" s="23" t="s">
        <v>69</v>
      </c>
      <c r="AS3" s="23" t="s">
        <v>69</v>
      </c>
      <c r="AT3" s="23" t="s">
        <v>69</v>
      </c>
      <c r="AU3" s="23" t="s">
        <v>69</v>
      </c>
      <c r="AV3" s="23" t="s">
        <v>69</v>
      </c>
      <c r="AW3" s="23" t="s">
        <v>69</v>
      </c>
      <c r="AX3" s="23" t="s">
        <v>69</v>
      </c>
      <c r="AY3" s="23" t="s">
        <v>69</v>
      </c>
      <c r="AZ3" s="23" t="s">
        <v>69</v>
      </c>
      <c r="BA3" s="23" t="s">
        <v>69</v>
      </c>
      <c r="BB3" s="23" t="s">
        <v>69</v>
      </c>
      <c r="BC3" s="47">
        <v>0.0</v>
      </c>
      <c r="BD3" s="48" t="s">
        <v>118</v>
      </c>
      <c r="BE3" s="49">
        <v>1.0</v>
      </c>
      <c r="BF3" s="50">
        <v>10.0</v>
      </c>
      <c r="BG3" s="51" t="s">
        <v>72</v>
      </c>
      <c r="BH3" s="52">
        <v>0.0</v>
      </c>
      <c r="BI3" s="63" t="s">
        <v>119</v>
      </c>
      <c r="BJ3" s="64" t="s">
        <v>69</v>
      </c>
      <c r="BK3" s="65">
        <v>35.0</v>
      </c>
      <c r="BL3" s="66" t="s">
        <v>69</v>
      </c>
      <c r="BM3" s="56">
        <v>9846.0</v>
      </c>
      <c r="BN3" s="57" t="s">
        <v>69</v>
      </c>
      <c r="BO3" s="57" t="s">
        <v>69</v>
      </c>
      <c r="BP3" s="57" t="s">
        <v>69</v>
      </c>
      <c r="BQ3" s="57" t="s">
        <v>69</v>
      </c>
      <c r="BR3" s="57" t="s">
        <v>69</v>
      </c>
      <c r="BS3" s="57" t="s">
        <v>69</v>
      </c>
      <c r="BT3" s="57" t="s">
        <v>69</v>
      </c>
      <c r="BU3" s="57" t="s">
        <v>69</v>
      </c>
      <c r="BV3" s="57" t="s">
        <v>69</v>
      </c>
      <c r="BW3" s="67">
        <v>44197.0</v>
      </c>
      <c r="BX3" s="68">
        <v>132850.0</v>
      </c>
      <c r="BY3" s="68">
        <f t="shared" si="1"/>
        <v>88653</v>
      </c>
      <c r="BZ3" s="69">
        <v>0.0</v>
      </c>
      <c r="CA3" s="70">
        <v>8394.0</v>
      </c>
      <c r="CB3" s="70">
        <v>23773.0</v>
      </c>
      <c r="CC3" s="70">
        <f t="shared" si="2"/>
        <v>15379</v>
      </c>
      <c r="CD3" s="70">
        <v>101431.0</v>
      </c>
      <c r="CE3" s="70">
        <v>287284.0</v>
      </c>
      <c r="CF3" s="70">
        <f t="shared" si="3"/>
        <v>185853</v>
      </c>
      <c r="CG3" s="70">
        <v>297130.0</v>
      </c>
      <c r="CH3" s="70">
        <v>287284.0</v>
      </c>
      <c r="CI3" s="70">
        <f t="shared" si="4"/>
        <v>-9846</v>
      </c>
      <c r="CJ3" s="70">
        <v>9846.0</v>
      </c>
      <c r="CK3" s="71">
        <v>0.0</v>
      </c>
    </row>
    <row r="4" ht="14.25" customHeight="1">
      <c r="A4" s="11" t="s">
        <v>120</v>
      </c>
      <c r="B4" s="13"/>
      <c r="C4" s="43"/>
      <c r="D4" s="13"/>
      <c r="E4" s="13"/>
      <c r="F4" s="42"/>
      <c r="G4" s="12"/>
      <c r="H4" s="13"/>
      <c r="I4" s="41" t="s">
        <v>120</v>
      </c>
      <c r="J4" s="42" t="s">
        <v>121</v>
      </c>
      <c r="K4" s="13" t="s">
        <v>115</v>
      </c>
      <c r="L4" s="11" t="s">
        <v>120</v>
      </c>
      <c r="M4" s="13" t="s">
        <v>62</v>
      </c>
      <c r="N4" s="13" t="s">
        <v>63</v>
      </c>
      <c r="O4" s="15">
        <v>8000.0</v>
      </c>
      <c r="P4" s="5" t="s">
        <v>116</v>
      </c>
      <c r="Q4" s="43" t="s">
        <v>84</v>
      </c>
      <c r="R4" s="19">
        <v>100.0</v>
      </c>
      <c r="S4" s="44" t="s">
        <v>69</v>
      </c>
      <c r="T4" s="16" t="s">
        <v>66</v>
      </c>
      <c r="U4" s="17">
        <v>2.01</v>
      </c>
      <c r="V4" s="18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9">
        <v>83.07</v>
      </c>
      <c r="AB4" s="21">
        <v>25.0</v>
      </c>
      <c r="AC4" s="19">
        <v>2.5</v>
      </c>
      <c r="AD4" s="19">
        <v>6.0</v>
      </c>
      <c r="AE4" s="19">
        <v>7.8</v>
      </c>
      <c r="AF4" s="22">
        <v>0.0</v>
      </c>
      <c r="AG4" s="23" t="s">
        <v>69</v>
      </c>
      <c r="AH4" s="24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27">
        <v>0.0</v>
      </c>
      <c r="AP4" s="23" t="s">
        <v>69</v>
      </c>
      <c r="AQ4" s="23" t="s">
        <v>69</v>
      </c>
      <c r="AR4" s="23" t="s">
        <v>69</v>
      </c>
      <c r="AS4" s="23" t="s">
        <v>69</v>
      </c>
      <c r="AT4" s="23" t="s">
        <v>69</v>
      </c>
      <c r="AU4" s="23" t="s">
        <v>69</v>
      </c>
      <c r="AV4" s="23" t="s">
        <v>69</v>
      </c>
      <c r="AW4" s="23" t="s">
        <v>69</v>
      </c>
      <c r="AX4" s="23" t="s">
        <v>69</v>
      </c>
      <c r="AY4" s="23" t="s">
        <v>69</v>
      </c>
      <c r="AZ4" s="23" t="s">
        <v>69</v>
      </c>
      <c r="BA4" s="23" t="s">
        <v>69</v>
      </c>
      <c r="BB4" s="23" t="s">
        <v>69</v>
      </c>
      <c r="BC4" s="47">
        <v>0.0</v>
      </c>
      <c r="BD4" s="48" t="s">
        <v>118</v>
      </c>
      <c r="BE4" s="49">
        <v>1.0</v>
      </c>
      <c r="BF4" s="50">
        <v>10.0</v>
      </c>
      <c r="BG4" s="51" t="s">
        <v>72</v>
      </c>
      <c r="BH4" s="52">
        <v>0.0</v>
      </c>
      <c r="BI4" s="41" t="s">
        <v>120</v>
      </c>
      <c r="BJ4" s="67">
        <v>80.0</v>
      </c>
      <c r="BK4" s="65">
        <v>35.0</v>
      </c>
      <c r="BL4" s="66" t="s">
        <v>69</v>
      </c>
      <c r="BM4" s="56">
        <v>74069.0</v>
      </c>
      <c r="BN4" s="65">
        <v>105036.0</v>
      </c>
      <c r="BO4" s="68">
        <v>0.0</v>
      </c>
      <c r="BP4" s="57">
        <f t="shared" ref="BP4:BP7" si="5">BN4-BO4</f>
        <v>105036</v>
      </c>
      <c r="BQ4" s="68">
        <v>27815.0</v>
      </c>
      <c r="BR4" s="68">
        <v>0.0</v>
      </c>
      <c r="BS4" s="68">
        <v>34023.0</v>
      </c>
      <c r="BT4" s="68">
        <v>0.0</v>
      </c>
      <c r="BU4" s="68">
        <f>BQ4+BR4+BS4+BT4</f>
        <v>61838</v>
      </c>
      <c r="BV4" s="57" t="s">
        <v>69</v>
      </c>
      <c r="BW4" s="67">
        <v>44197.0</v>
      </c>
      <c r="BX4" s="57">
        <f t="shared" ref="BX4:BX7" si="6">BP4</f>
        <v>105036</v>
      </c>
      <c r="BY4" s="57">
        <f t="shared" si="1"/>
        <v>60839</v>
      </c>
      <c r="BZ4" s="69">
        <v>0.47</v>
      </c>
      <c r="CA4" s="70">
        <v>8394.0</v>
      </c>
      <c r="CB4" s="70">
        <v>13988.0</v>
      </c>
      <c r="CC4" s="70">
        <f t="shared" si="2"/>
        <v>5594</v>
      </c>
      <c r="CD4" s="72">
        <v>334284.0</v>
      </c>
      <c r="CE4" s="70">
        <v>557095.0</v>
      </c>
      <c r="CF4" s="70">
        <f t="shared" si="3"/>
        <v>222811</v>
      </c>
      <c r="CG4" s="70">
        <v>860764.0</v>
      </c>
      <c r="CH4" s="70">
        <v>786695.0</v>
      </c>
      <c r="CI4" s="70">
        <f t="shared" si="4"/>
        <v>-74069</v>
      </c>
      <c r="CJ4" s="70">
        <v>74069.0</v>
      </c>
      <c r="CK4" s="71">
        <v>13.88</v>
      </c>
    </row>
    <row r="5" ht="14.25" customHeight="1">
      <c r="A5" s="11" t="s">
        <v>122</v>
      </c>
      <c r="B5" s="13"/>
      <c r="C5" s="43"/>
      <c r="D5" s="13"/>
      <c r="E5" s="13"/>
      <c r="F5" s="42"/>
      <c r="G5" s="13"/>
      <c r="H5" s="12"/>
      <c r="I5" s="41" t="s">
        <v>122</v>
      </c>
      <c r="J5" s="42" t="s">
        <v>121</v>
      </c>
      <c r="K5" s="13" t="s">
        <v>115</v>
      </c>
      <c r="L5" s="11" t="s">
        <v>122</v>
      </c>
      <c r="M5" s="13" t="s">
        <v>62</v>
      </c>
      <c r="N5" s="13" t="s">
        <v>63</v>
      </c>
      <c r="O5" s="15">
        <v>8000.0</v>
      </c>
      <c r="P5" s="5" t="s">
        <v>116</v>
      </c>
      <c r="Q5" s="43" t="s">
        <v>84</v>
      </c>
      <c r="R5" s="19">
        <v>100.0</v>
      </c>
      <c r="S5" s="44" t="s">
        <v>69</v>
      </c>
      <c r="T5" s="16" t="s">
        <v>66</v>
      </c>
      <c r="U5" s="17">
        <v>2.01</v>
      </c>
      <c r="V5" s="18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9">
        <v>83.07</v>
      </c>
      <c r="AB5" s="21">
        <v>10.0</v>
      </c>
      <c r="AC5" s="19">
        <v>2.5</v>
      </c>
      <c r="AD5" s="19">
        <v>6.0</v>
      </c>
      <c r="AE5" s="19">
        <v>7.8</v>
      </c>
      <c r="AF5" s="22">
        <v>0.0</v>
      </c>
      <c r="AG5" s="23" t="s">
        <v>69</v>
      </c>
      <c r="AH5" s="24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27">
        <v>0.0</v>
      </c>
      <c r="AP5" s="23" t="s">
        <v>69</v>
      </c>
      <c r="AQ5" s="23" t="s">
        <v>69</v>
      </c>
      <c r="AR5" s="23" t="s">
        <v>69</v>
      </c>
      <c r="AS5" s="23" t="s">
        <v>69</v>
      </c>
      <c r="AT5" s="23" t="s">
        <v>69</v>
      </c>
      <c r="AU5" s="23" t="s">
        <v>69</v>
      </c>
      <c r="AV5" s="23" t="s">
        <v>69</v>
      </c>
      <c r="AW5" s="23" t="s">
        <v>69</v>
      </c>
      <c r="AX5" s="23" t="s">
        <v>69</v>
      </c>
      <c r="AY5" s="23" t="s">
        <v>69</v>
      </c>
      <c r="AZ5" s="23" t="s">
        <v>69</v>
      </c>
      <c r="BA5" s="23" t="s">
        <v>69</v>
      </c>
      <c r="BB5" s="23" t="s">
        <v>69</v>
      </c>
      <c r="BC5" s="47">
        <v>0.0</v>
      </c>
      <c r="BD5" s="48" t="s">
        <v>118</v>
      </c>
      <c r="BE5" s="49">
        <v>1.0</v>
      </c>
      <c r="BF5" s="50">
        <v>10.0</v>
      </c>
      <c r="BG5" s="51" t="s">
        <v>72</v>
      </c>
      <c r="BH5" s="52">
        <v>0.0</v>
      </c>
      <c r="BI5" s="41" t="s">
        <v>122</v>
      </c>
      <c r="BJ5" s="67">
        <v>80.0</v>
      </c>
      <c r="BK5" s="65">
        <v>35.0</v>
      </c>
      <c r="BL5" s="66" t="s">
        <v>69</v>
      </c>
      <c r="BM5" s="56">
        <v>112478.0</v>
      </c>
      <c r="BN5" s="57">
        <v>104535.0</v>
      </c>
      <c r="BO5" s="68">
        <v>0.0</v>
      </c>
      <c r="BP5" s="57">
        <f t="shared" si="5"/>
        <v>104535</v>
      </c>
      <c r="BQ5" s="68">
        <v>28315.0</v>
      </c>
      <c r="BR5" s="68">
        <v>0.0</v>
      </c>
      <c r="BS5" s="68">
        <v>36325.0</v>
      </c>
      <c r="BT5" s="68">
        <v>0.0</v>
      </c>
      <c r="BU5" s="68">
        <f>BQ5+BR5+BS5+BT5+1</f>
        <v>64641</v>
      </c>
      <c r="BV5" s="57" t="s">
        <v>69</v>
      </c>
      <c r="BW5" s="67">
        <v>44197.0</v>
      </c>
      <c r="BX5" s="57">
        <f t="shared" si="6"/>
        <v>104535</v>
      </c>
      <c r="BY5" s="57">
        <f t="shared" si="1"/>
        <v>60338</v>
      </c>
      <c r="BZ5" s="69">
        <v>0.49</v>
      </c>
      <c r="CA5" s="70">
        <v>8394.0</v>
      </c>
      <c r="CB5" s="70">
        <v>13559.0</v>
      </c>
      <c r="CC5" s="70">
        <f t="shared" si="2"/>
        <v>5165</v>
      </c>
      <c r="CD5" s="70">
        <v>101431.0</v>
      </c>
      <c r="CE5" s="70">
        <v>163852.0</v>
      </c>
      <c r="CF5" s="70">
        <f t="shared" si="3"/>
        <v>62421</v>
      </c>
      <c r="CG5" s="70">
        <v>297130.0</v>
      </c>
      <c r="CH5" s="70">
        <v>184652.0</v>
      </c>
      <c r="CI5" s="70">
        <f t="shared" si="4"/>
        <v>-112478</v>
      </c>
      <c r="CJ5" s="70">
        <v>112478.0</v>
      </c>
      <c r="CK5" s="71">
        <v>0.0</v>
      </c>
    </row>
    <row r="6" ht="14.25" customHeight="1">
      <c r="A6" s="11" t="s">
        <v>123</v>
      </c>
      <c r="D6" s="39"/>
      <c r="E6" s="13"/>
      <c r="F6" s="42"/>
      <c r="G6" s="73"/>
      <c r="H6" s="5"/>
      <c r="I6" s="63" t="s">
        <v>123</v>
      </c>
      <c r="J6" s="42" t="s">
        <v>121</v>
      </c>
      <c r="K6" s="13" t="s">
        <v>115</v>
      </c>
      <c r="L6" s="11" t="s">
        <v>123</v>
      </c>
      <c r="M6" s="5" t="s">
        <v>62</v>
      </c>
      <c r="N6" s="13" t="s">
        <v>63</v>
      </c>
      <c r="O6" s="15">
        <v>8000.0</v>
      </c>
      <c r="P6" s="5" t="s">
        <v>116</v>
      </c>
      <c r="Q6" s="39" t="s">
        <v>85</v>
      </c>
      <c r="R6" s="74" t="s">
        <v>69</v>
      </c>
      <c r="S6" s="5">
        <v>0.06713</v>
      </c>
      <c r="T6" s="16" t="s">
        <v>66</v>
      </c>
      <c r="U6" s="75">
        <v>2.01</v>
      </c>
      <c r="V6" s="18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5">
        <v>83.07</v>
      </c>
      <c r="AB6" s="21">
        <v>25.0</v>
      </c>
      <c r="AC6" s="5">
        <v>2.5</v>
      </c>
      <c r="AD6" s="5">
        <v>6.0</v>
      </c>
      <c r="AE6" s="19">
        <v>7.8</v>
      </c>
      <c r="AF6" s="22">
        <v>0.0</v>
      </c>
      <c r="AG6" s="23" t="s">
        <v>69</v>
      </c>
      <c r="AH6" s="24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27">
        <v>0.0</v>
      </c>
      <c r="AP6" s="23" t="s">
        <v>69</v>
      </c>
      <c r="AQ6" s="23" t="s">
        <v>69</v>
      </c>
      <c r="AR6" s="23" t="s">
        <v>69</v>
      </c>
      <c r="AS6" s="23" t="s">
        <v>69</v>
      </c>
      <c r="AT6" s="23" t="s">
        <v>69</v>
      </c>
      <c r="AU6" s="23" t="s">
        <v>69</v>
      </c>
      <c r="AV6" s="23" t="s">
        <v>69</v>
      </c>
      <c r="AW6" s="23" t="s">
        <v>69</v>
      </c>
      <c r="AX6" s="23" t="s">
        <v>69</v>
      </c>
      <c r="AY6" s="23" t="s">
        <v>69</v>
      </c>
      <c r="AZ6" s="23" t="s">
        <v>69</v>
      </c>
      <c r="BA6" s="23" t="s">
        <v>69</v>
      </c>
      <c r="BB6" s="23" t="s">
        <v>69</v>
      </c>
      <c r="BC6" s="47">
        <v>0.0</v>
      </c>
      <c r="BD6" s="77" t="s">
        <v>118</v>
      </c>
      <c r="BE6" s="49">
        <v>1.0</v>
      </c>
      <c r="BF6" s="50">
        <v>10.0</v>
      </c>
      <c r="BG6" s="51" t="s">
        <v>72</v>
      </c>
      <c r="BH6" s="52">
        <v>0.0</v>
      </c>
      <c r="BI6" s="63" t="s">
        <v>123</v>
      </c>
      <c r="BJ6" s="67">
        <v>55.0</v>
      </c>
      <c r="BK6" s="65">
        <v>35.0</v>
      </c>
      <c r="BL6" s="66" t="s">
        <v>69</v>
      </c>
      <c r="BM6" s="56">
        <v>-33927.0</v>
      </c>
      <c r="BN6" s="65">
        <v>109169.0</v>
      </c>
      <c r="BO6" s="68">
        <v>0.0</v>
      </c>
      <c r="BP6" s="57">
        <f t="shared" si="5"/>
        <v>109169</v>
      </c>
      <c r="BQ6" s="68">
        <v>23682.0</v>
      </c>
      <c r="BR6" s="68">
        <v>0.0</v>
      </c>
      <c r="BS6" s="68">
        <v>18814.0</v>
      </c>
      <c r="BT6" s="68">
        <v>0.0</v>
      </c>
      <c r="BU6" s="68">
        <f t="shared" ref="BU6:BU7" si="7">BQ6+BR6+BS6+BT6</f>
        <v>42496</v>
      </c>
      <c r="BV6" s="78" t="s">
        <v>69</v>
      </c>
      <c r="BW6" s="67">
        <v>44197.0</v>
      </c>
      <c r="BX6" s="57">
        <f t="shared" si="6"/>
        <v>109169</v>
      </c>
      <c r="BY6" s="57">
        <f t="shared" si="1"/>
        <v>64972</v>
      </c>
      <c r="BZ6" s="79">
        <v>0.32</v>
      </c>
      <c r="CA6" s="72">
        <v>8394.0</v>
      </c>
      <c r="CB6" s="72">
        <v>18503.0</v>
      </c>
      <c r="CC6" s="70">
        <f t="shared" si="2"/>
        <v>10109</v>
      </c>
      <c r="CD6" s="72">
        <v>334284.0</v>
      </c>
      <c r="CE6" s="72">
        <v>736908.0</v>
      </c>
      <c r="CF6" s="70">
        <f t="shared" si="3"/>
        <v>402624</v>
      </c>
      <c r="CG6" s="70">
        <v>860764.0</v>
      </c>
      <c r="CH6" s="70">
        <v>894691.0</v>
      </c>
      <c r="CI6" s="70">
        <f t="shared" si="4"/>
        <v>33927</v>
      </c>
      <c r="CJ6" s="70">
        <v>-33927.0</v>
      </c>
      <c r="CK6" s="80">
        <v>0.0</v>
      </c>
    </row>
    <row r="7" ht="14.25" customHeight="1">
      <c r="A7" s="11" t="s">
        <v>124</v>
      </c>
      <c r="B7" s="81"/>
      <c r="C7" s="81"/>
      <c r="D7" s="82"/>
      <c r="E7" s="83"/>
      <c r="F7" s="84"/>
      <c r="G7" s="81"/>
      <c r="H7" s="85"/>
      <c r="I7" s="86" t="s">
        <v>124</v>
      </c>
      <c r="J7" s="42" t="s">
        <v>121</v>
      </c>
      <c r="K7" s="83" t="s">
        <v>115</v>
      </c>
      <c r="L7" s="11" t="s">
        <v>124</v>
      </c>
      <c r="M7" s="81" t="s">
        <v>62</v>
      </c>
      <c r="N7" s="83" t="s">
        <v>63</v>
      </c>
      <c r="O7" s="87">
        <v>8000.0</v>
      </c>
      <c r="P7" s="83" t="s">
        <v>116</v>
      </c>
      <c r="Q7" s="82" t="s">
        <v>85</v>
      </c>
      <c r="R7" s="88" t="s">
        <v>69</v>
      </c>
      <c r="S7" s="81">
        <v>0.06713</v>
      </c>
      <c r="T7" s="89" t="s">
        <v>66</v>
      </c>
      <c r="U7" s="90">
        <v>2.01</v>
      </c>
      <c r="V7" s="91" t="s">
        <v>67</v>
      </c>
      <c r="W7" s="92">
        <v>2024.0</v>
      </c>
      <c r="X7" s="93" t="s">
        <v>68</v>
      </c>
      <c r="Y7" s="81">
        <v>100.0</v>
      </c>
      <c r="Z7" s="92">
        <v>2024.0</v>
      </c>
      <c r="AA7" s="81">
        <v>83.07</v>
      </c>
      <c r="AB7" s="94">
        <v>10.0</v>
      </c>
      <c r="AC7" s="81">
        <v>2.5</v>
      </c>
      <c r="AD7" s="81">
        <v>6.0</v>
      </c>
      <c r="AE7" s="92">
        <v>7.8</v>
      </c>
      <c r="AF7" s="95">
        <v>0.0</v>
      </c>
      <c r="AG7" s="96" t="s">
        <v>69</v>
      </c>
      <c r="AH7" s="97" t="s">
        <v>70</v>
      </c>
      <c r="AI7" s="98">
        <v>0.0</v>
      </c>
      <c r="AJ7" s="95" t="s">
        <v>71</v>
      </c>
      <c r="AK7" s="95">
        <v>335.4</v>
      </c>
      <c r="AL7" s="95">
        <v>10.7</v>
      </c>
      <c r="AM7" s="95">
        <v>0.0</v>
      </c>
      <c r="AN7" s="99" t="s">
        <v>72</v>
      </c>
      <c r="AO7" s="100">
        <v>0.0</v>
      </c>
      <c r="AP7" s="96" t="s">
        <v>69</v>
      </c>
      <c r="AQ7" s="96" t="s">
        <v>69</v>
      </c>
      <c r="AR7" s="96" t="s">
        <v>69</v>
      </c>
      <c r="AS7" s="96" t="s">
        <v>69</v>
      </c>
      <c r="AT7" s="96" t="s">
        <v>69</v>
      </c>
      <c r="AU7" s="96" t="s">
        <v>69</v>
      </c>
      <c r="AV7" s="96" t="s">
        <v>69</v>
      </c>
      <c r="AW7" s="96" t="s">
        <v>69</v>
      </c>
      <c r="AX7" s="96" t="s">
        <v>69</v>
      </c>
      <c r="AY7" s="96" t="s">
        <v>69</v>
      </c>
      <c r="AZ7" s="96" t="s">
        <v>69</v>
      </c>
      <c r="BA7" s="96" t="s">
        <v>69</v>
      </c>
      <c r="BB7" s="96" t="s">
        <v>69</v>
      </c>
      <c r="BC7" s="101">
        <v>0.0</v>
      </c>
      <c r="BD7" s="102" t="s">
        <v>118</v>
      </c>
      <c r="BE7" s="103">
        <v>1.0</v>
      </c>
      <c r="BF7" s="104">
        <v>10.0</v>
      </c>
      <c r="BG7" s="105" t="s">
        <v>72</v>
      </c>
      <c r="BH7" s="106">
        <v>0.0</v>
      </c>
      <c r="BI7" s="86" t="s">
        <v>124</v>
      </c>
      <c r="BJ7" s="107">
        <v>80.0</v>
      </c>
      <c r="BK7" s="108">
        <v>35.0</v>
      </c>
      <c r="BL7" s="109" t="s">
        <v>69</v>
      </c>
      <c r="BM7" s="110">
        <v>76572.0</v>
      </c>
      <c r="BN7" s="108">
        <v>104535.0</v>
      </c>
      <c r="BO7" s="111">
        <v>0.0</v>
      </c>
      <c r="BP7" s="112">
        <f t="shared" si="5"/>
        <v>104535</v>
      </c>
      <c r="BQ7" s="111">
        <v>28315.0</v>
      </c>
      <c r="BR7" s="111">
        <v>0.0</v>
      </c>
      <c r="BS7" s="111">
        <v>36325.0</v>
      </c>
      <c r="BT7" s="111">
        <v>0.0</v>
      </c>
      <c r="BU7" s="111">
        <f t="shared" si="7"/>
        <v>64640</v>
      </c>
      <c r="BV7" s="113" t="s">
        <v>69</v>
      </c>
      <c r="BW7" s="114">
        <v>44197.0</v>
      </c>
      <c r="BX7" s="112">
        <f t="shared" si="6"/>
        <v>104535</v>
      </c>
      <c r="BY7" s="112">
        <f t="shared" si="1"/>
        <v>60338</v>
      </c>
      <c r="BZ7" s="115">
        <v>0.49</v>
      </c>
      <c r="CA7" s="116">
        <v>8394.0</v>
      </c>
      <c r="CB7" s="116">
        <v>16530.0</v>
      </c>
      <c r="CC7" s="117">
        <f t="shared" si="2"/>
        <v>8136</v>
      </c>
      <c r="CD7" s="116">
        <v>101431.0</v>
      </c>
      <c r="CE7" s="116">
        <v>199758.0</v>
      </c>
      <c r="CF7" s="117">
        <f t="shared" si="3"/>
        <v>98327</v>
      </c>
      <c r="CG7" s="116">
        <v>297130.0</v>
      </c>
      <c r="CH7" s="116">
        <v>220558.0</v>
      </c>
      <c r="CI7" s="117">
        <f t="shared" si="4"/>
        <v>-76572</v>
      </c>
      <c r="CJ7" s="116">
        <v>76572.0</v>
      </c>
      <c r="CK7" s="118">
        <v>0.0</v>
      </c>
    </row>
    <row r="8" ht="14.25" customHeight="1">
      <c r="BG8" s="13"/>
      <c r="BH8" s="13"/>
    </row>
    <row r="9" ht="14.25" customHeight="1">
      <c r="A9" s="119" t="s">
        <v>125</v>
      </c>
      <c r="BG9" s="13"/>
      <c r="BH9" s="13"/>
    </row>
    <row r="10" ht="14.25" customHeight="1">
      <c r="A10" s="119" t="s">
        <v>126</v>
      </c>
      <c r="BG10" s="13"/>
      <c r="BH10" s="13"/>
    </row>
    <row r="11" ht="14.25" customHeight="1">
      <c r="BG11" s="13"/>
      <c r="BH11" s="13"/>
      <c r="BI11" s="5"/>
    </row>
    <row r="12" ht="14.25" customHeight="1">
      <c r="A12" s="119"/>
      <c r="C12" s="5" t="s">
        <v>127</v>
      </c>
      <c r="D12" s="5" t="s">
        <v>128</v>
      </c>
      <c r="E12" s="5" t="s">
        <v>129</v>
      </c>
      <c r="BG12" s="13"/>
      <c r="BH12" s="13"/>
    </row>
    <row r="13" ht="14.25" customHeight="1">
      <c r="A13" s="5" t="s">
        <v>113</v>
      </c>
      <c r="B13" s="5" t="s">
        <v>130</v>
      </c>
      <c r="C13" s="33">
        <v>86028.0</v>
      </c>
      <c r="D13" s="33">
        <v>15379.0</v>
      </c>
      <c r="E13" s="120">
        <v>0.0</v>
      </c>
      <c r="BG13" s="13"/>
      <c r="BH13" s="13"/>
    </row>
    <row r="14" ht="14.25" customHeight="1">
      <c r="A14" s="5" t="s">
        <v>119</v>
      </c>
      <c r="B14" s="5" t="s">
        <v>131</v>
      </c>
      <c r="C14" s="33">
        <v>-9846.0</v>
      </c>
      <c r="D14" s="33">
        <v>15379.0</v>
      </c>
      <c r="E14" s="120">
        <v>0.0</v>
      </c>
      <c r="BG14" s="13"/>
      <c r="BH14" s="13"/>
    </row>
    <row r="15" ht="14.25" customHeight="1">
      <c r="A15" s="5" t="s">
        <v>120</v>
      </c>
      <c r="B15" s="5" t="s">
        <v>132</v>
      </c>
      <c r="C15" s="33">
        <v>-74069.0</v>
      </c>
      <c r="D15" s="33">
        <v>5594.0</v>
      </c>
      <c r="E15" s="120">
        <v>0.47</v>
      </c>
      <c r="AS15" s="5"/>
      <c r="AT15" s="5"/>
      <c r="BG15" s="13"/>
      <c r="BH15" s="13"/>
    </row>
    <row r="16" ht="14.25" customHeight="1">
      <c r="A16" s="5" t="s">
        <v>122</v>
      </c>
      <c r="B16" s="5" t="s">
        <v>133</v>
      </c>
      <c r="C16" s="33">
        <v>-112478.0</v>
      </c>
      <c r="D16" s="33">
        <v>5165.0</v>
      </c>
      <c r="E16" s="120">
        <v>0.49</v>
      </c>
      <c r="BG16" s="13"/>
      <c r="BH16" s="13"/>
    </row>
    <row r="17" ht="14.25" customHeight="1">
      <c r="A17" s="5" t="s">
        <v>123</v>
      </c>
      <c r="B17" s="5" t="s">
        <v>134</v>
      </c>
      <c r="C17" s="33">
        <v>33927.0</v>
      </c>
      <c r="D17" s="33">
        <v>10109.0</v>
      </c>
      <c r="E17" s="120">
        <v>0.32</v>
      </c>
      <c r="BG17" s="13"/>
      <c r="BH17" s="13"/>
    </row>
    <row r="18" ht="14.25" customHeight="1">
      <c r="A18" s="5" t="s">
        <v>124</v>
      </c>
      <c r="B18" s="5" t="s">
        <v>135</v>
      </c>
      <c r="C18" s="33">
        <v>-76572.0</v>
      </c>
      <c r="D18" s="33">
        <v>8136.0</v>
      </c>
      <c r="E18" s="120">
        <v>0.49</v>
      </c>
      <c r="BG18" s="13"/>
      <c r="BH18" s="13"/>
    </row>
    <row r="19" ht="14.25" customHeight="1">
      <c r="BG19" s="13"/>
      <c r="BH19" s="13"/>
    </row>
    <row r="20" ht="14.25" customHeight="1">
      <c r="C20" s="5" t="s">
        <v>127</v>
      </c>
      <c r="D20" s="5" t="s">
        <v>128</v>
      </c>
      <c r="E20" s="5" t="s">
        <v>129</v>
      </c>
      <c r="F20" s="5" t="s">
        <v>136</v>
      </c>
      <c r="BG20" s="13"/>
      <c r="BH20" s="13"/>
    </row>
    <row r="21" ht="14.25" customHeight="1">
      <c r="A21" s="13"/>
      <c r="B21" s="13" t="s">
        <v>137</v>
      </c>
      <c r="C21" s="47"/>
      <c r="D21" s="47"/>
      <c r="E21" s="121"/>
      <c r="F21" s="33">
        <v>860764.0</v>
      </c>
      <c r="BG21" s="13"/>
      <c r="BH21" s="13"/>
    </row>
    <row r="22" ht="14.25" customHeight="1">
      <c r="A22" s="13" t="s">
        <v>113</v>
      </c>
      <c r="B22" s="13" t="s">
        <v>86</v>
      </c>
      <c r="C22" s="33">
        <v>86028.0</v>
      </c>
      <c r="D22" s="47">
        <v>15379.0</v>
      </c>
      <c r="E22" s="121">
        <v>0.0</v>
      </c>
      <c r="F22" s="47">
        <v>946792.0</v>
      </c>
      <c r="BG22" s="13"/>
      <c r="BH22" s="13"/>
    </row>
    <row r="23" ht="14.25" customHeight="1">
      <c r="A23" s="13" t="s">
        <v>120</v>
      </c>
      <c r="B23" s="13" t="s">
        <v>84</v>
      </c>
      <c r="C23" s="47">
        <v>-74069.0</v>
      </c>
      <c r="D23" s="47">
        <v>5594.0</v>
      </c>
      <c r="E23" s="121">
        <v>0.47</v>
      </c>
      <c r="F23" s="47">
        <v>786695.0</v>
      </c>
      <c r="BG23" s="13"/>
      <c r="BH23" s="13"/>
    </row>
    <row r="24" ht="14.25" customHeight="1">
      <c r="A24" s="13" t="s">
        <v>123</v>
      </c>
      <c r="B24" s="13" t="s">
        <v>85</v>
      </c>
      <c r="C24" s="47">
        <v>33927.0</v>
      </c>
      <c r="D24" s="47">
        <v>10109.0</v>
      </c>
      <c r="E24" s="121">
        <v>0.32</v>
      </c>
      <c r="F24" s="47">
        <v>894691.0</v>
      </c>
      <c r="BG24" s="13"/>
      <c r="BH24" s="13"/>
    </row>
    <row r="25" ht="14.25" customHeight="1">
      <c r="BG25" s="13"/>
      <c r="BH25" s="13"/>
    </row>
    <row r="26" ht="14.25" customHeight="1">
      <c r="C26" s="5" t="s">
        <v>127</v>
      </c>
      <c r="D26" s="5" t="s">
        <v>128</v>
      </c>
      <c r="E26" s="5" t="s">
        <v>129</v>
      </c>
      <c r="F26" s="5" t="s">
        <v>136</v>
      </c>
      <c r="BG26" s="13"/>
      <c r="BH26" s="13"/>
    </row>
    <row r="27" ht="14.25" customHeight="1">
      <c r="A27" s="13"/>
      <c r="B27" s="122" t="s">
        <v>138</v>
      </c>
      <c r="C27" s="47"/>
      <c r="D27" s="47"/>
      <c r="E27" s="121"/>
      <c r="F27" s="33">
        <v>297130.0</v>
      </c>
      <c r="BG27" s="13"/>
      <c r="BH27" s="13"/>
    </row>
    <row r="28" ht="14.25" customHeight="1">
      <c r="A28" s="13" t="s">
        <v>113</v>
      </c>
      <c r="B28" s="122" t="s">
        <v>86</v>
      </c>
      <c r="C28" s="47">
        <v>-9846.0</v>
      </c>
      <c r="D28" s="47">
        <v>15379.0</v>
      </c>
      <c r="E28" s="121">
        <v>0.0</v>
      </c>
      <c r="F28" s="47">
        <v>287284.0</v>
      </c>
      <c r="BG28" s="13"/>
      <c r="BH28" s="13"/>
    </row>
    <row r="29" ht="14.25" customHeight="1">
      <c r="A29" s="13" t="s">
        <v>120</v>
      </c>
      <c r="B29" s="13" t="s">
        <v>84</v>
      </c>
      <c r="C29" s="47">
        <v>-112478.0</v>
      </c>
      <c r="D29" s="47">
        <v>5165.0</v>
      </c>
      <c r="E29" s="121">
        <v>0.49</v>
      </c>
      <c r="F29" s="47">
        <v>184652.0</v>
      </c>
      <c r="G29" s="123"/>
      <c r="BG29" s="13"/>
      <c r="BH29" s="13"/>
    </row>
    <row r="30" ht="14.25" customHeight="1">
      <c r="A30" s="13" t="s">
        <v>123</v>
      </c>
      <c r="B30" s="13" t="s">
        <v>85</v>
      </c>
      <c r="C30" s="47">
        <v>-76572.0</v>
      </c>
      <c r="D30" s="47">
        <v>8136.0</v>
      </c>
      <c r="E30" s="121">
        <v>0.49</v>
      </c>
      <c r="F30" s="47">
        <v>220558.0</v>
      </c>
      <c r="BG30" s="13"/>
      <c r="BH30" s="13"/>
    </row>
    <row r="31" ht="14.25" customHeight="1">
      <c r="F31" s="33"/>
      <c r="BG31" s="13"/>
      <c r="BH31" s="13"/>
    </row>
    <row r="32" ht="14.25" customHeight="1">
      <c r="F32" s="33"/>
      <c r="BG32" s="13"/>
      <c r="BH32" s="13"/>
    </row>
    <row r="33" ht="14.25" customHeight="1">
      <c r="F33" s="33"/>
      <c r="BG33" s="13"/>
      <c r="BH33" s="13"/>
    </row>
    <row r="34" ht="14.25" customHeight="1">
      <c r="F34" s="33"/>
      <c r="BG34" s="13"/>
      <c r="BH34" s="13"/>
    </row>
    <row r="35" ht="14.25" customHeight="1">
      <c r="F35" s="33"/>
      <c r="BG35" s="13"/>
      <c r="BH35" s="13"/>
    </row>
    <row r="36" ht="14.25" customHeight="1">
      <c r="F36" s="33"/>
      <c r="BG36" s="13"/>
      <c r="BH36" s="13"/>
    </row>
    <row r="37" ht="14.25" customHeight="1">
      <c r="BG37" s="13"/>
      <c r="BH37" s="13"/>
    </row>
    <row r="38" ht="14.25" customHeight="1">
      <c r="BG38" s="13"/>
      <c r="BH38" s="13"/>
    </row>
    <row r="39" ht="14.25" customHeight="1">
      <c r="BG39" s="13"/>
      <c r="BH39" s="13"/>
    </row>
    <row r="40" ht="14.25" customHeight="1">
      <c r="BG40" s="13"/>
      <c r="BH40" s="13"/>
    </row>
    <row r="41" ht="14.25" customHeight="1">
      <c r="BG41" s="13"/>
      <c r="BH41" s="13"/>
    </row>
    <row r="42" ht="14.25" customHeight="1">
      <c r="BG42" s="13"/>
      <c r="BH42" s="13"/>
    </row>
    <row r="43" ht="14.25" customHeight="1">
      <c r="BG43" s="13"/>
      <c r="BH43" s="13"/>
    </row>
    <row r="44" ht="14.25" customHeight="1">
      <c r="BG44" s="13"/>
      <c r="BH44" s="13"/>
    </row>
    <row r="45" ht="14.25" customHeight="1">
      <c r="BG45" s="13"/>
      <c r="BH45" s="13"/>
    </row>
    <row r="46" ht="14.25" customHeight="1">
      <c r="BG46" s="13"/>
      <c r="BH46" s="13"/>
    </row>
    <row r="47" ht="14.25" customHeight="1">
      <c r="BG47" s="13"/>
      <c r="BH47" s="13"/>
    </row>
    <row r="48" ht="14.25" customHeight="1">
      <c r="BG48" s="13"/>
      <c r="BH48" s="13"/>
    </row>
    <row r="49" ht="14.25" customHeight="1">
      <c r="BG49" s="13"/>
      <c r="BH49" s="13"/>
    </row>
    <row r="50" ht="14.25" customHeight="1">
      <c r="BG50" s="13"/>
      <c r="BH50" s="13"/>
    </row>
    <row r="51" ht="14.25" customHeight="1">
      <c r="BG51" s="13"/>
      <c r="BH51" s="13"/>
    </row>
    <row r="52" ht="14.25" customHeight="1">
      <c r="BG52" s="13"/>
      <c r="BH52" s="13"/>
    </row>
    <row r="53" ht="14.25" customHeight="1">
      <c r="BG53" s="13"/>
      <c r="BH53" s="13"/>
    </row>
    <row r="54" ht="14.25" customHeight="1">
      <c r="BG54" s="13"/>
      <c r="BH54" s="13"/>
    </row>
    <row r="55" ht="14.25" customHeight="1">
      <c r="BG55" s="13"/>
      <c r="BH55" s="13"/>
    </row>
    <row r="56" ht="14.25" customHeight="1">
      <c r="BG56" s="13"/>
      <c r="BH56" s="13"/>
    </row>
    <row r="57" ht="14.25" customHeight="1">
      <c r="BG57" s="13"/>
      <c r="BH57" s="13"/>
    </row>
    <row r="58" ht="14.25" customHeight="1">
      <c r="BG58" s="13"/>
      <c r="BH58" s="13"/>
    </row>
    <row r="59" ht="14.25" customHeight="1">
      <c r="BG59" s="13"/>
      <c r="BH59" s="13"/>
    </row>
    <row r="60" ht="14.25" customHeight="1">
      <c r="BG60" s="13"/>
      <c r="BH60" s="13"/>
    </row>
    <row r="61" ht="14.25" customHeight="1">
      <c r="BG61" s="13"/>
      <c r="BH61" s="13"/>
    </row>
    <row r="62" ht="14.25" customHeight="1">
      <c r="BG62" s="13"/>
      <c r="BH62" s="13"/>
    </row>
    <row r="63" ht="14.25" customHeight="1">
      <c r="BG63" s="13"/>
      <c r="BH63" s="13"/>
    </row>
    <row r="64" ht="14.25" customHeight="1">
      <c r="BG64" s="13"/>
      <c r="BH64" s="13"/>
    </row>
    <row r="65" ht="14.25" customHeight="1">
      <c r="BG65" s="13"/>
      <c r="BH65" s="13"/>
    </row>
    <row r="66" ht="14.25" customHeight="1">
      <c r="BG66" s="13"/>
      <c r="BH66" s="13"/>
    </row>
    <row r="67" ht="14.25" customHeight="1">
      <c r="BG67" s="13"/>
      <c r="BH67" s="13"/>
    </row>
    <row r="68" ht="14.25" customHeight="1">
      <c r="BG68" s="13"/>
      <c r="BH68" s="13"/>
    </row>
    <row r="69" ht="14.25" customHeight="1">
      <c r="BG69" s="13"/>
      <c r="BH69" s="13"/>
    </row>
    <row r="70" ht="14.25" customHeight="1">
      <c r="BG70" s="13"/>
      <c r="BH70" s="13"/>
    </row>
    <row r="71" ht="14.25" customHeight="1">
      <c r="BG71" s="13"/>
      <c r="BH71" s="13"/>
    </row>
    <row r="72" ht="14.25" customHeight="1">
      <c r="BG72" s="13"/>
      <c r="BH72" s="13"/>
    </row>
    <row r="73" ht="14.25" customHeight="1">
      <c r="BG73" s="13"/>
      <c r="BH73" s="13"/>
    </row>
    <row r="74" ht="14.25" customHeight="1">
      <c r="BG74" s="13"/>
      <c r="BH74" s="13"/>
    </row>
    <row r="75" ht="14.25" customHeight="1">
      <c r="BG75" s="13"/>
      <c r="BH75" s="13"/>
    </row>
    <row r="76" ht="14.25" customHeight="1">
      <c r="BG76" s="13"/>
      <c r="BH76" s="13"/>
    </row>
    <row r="77" ht="14.25" customHeight="1">
      <c r="BG77" s="13"/>
      <c r="BH77" s="13"/>
    </row>
    <row r="78" ht="14.25" customHeight="1">
      <c r="BG78" s="13"/>
      <c r="BH78" s="13"/>
    </row>
    <row r="79" ht="14.25" customHeight="1">
      <c r="BG79" s="13"/>
      <c r="BH79" s="13"/>
    </row>
    <row r="80" ht="14.25" customHeight="1">
      <c r="BG80" s="13"/>
      <c r="BH80" s="13"/>
    </row>
    <row r="81" ht="14.25" customHeight="1">
      <c r="BG81" s="13"/>
      <c r="BH81" s="13"/>
    </row>
    <row r="82" ht="14.25" customHeight="1">
      <c r="BG82" s="13"/>
      <c r="BH82" s="13"/>
    </row>
    <row r="83" ht="14.25" customHeight="1">
      <c r="BG83" s="13"/>
      <c r="BH83" s="13"/>
    </row>
    <row r="84" ht="14.25" customHeight="1">
      <c r="BG84" s="13"/>
      <c r="BH84" s="13"/>
    </row>
    <row r="85" ht="14.25" customHeight="1">
      <c r="BG85" s="13"/>
      <c r="BH85" s="13"/>
    </row>
    <row r="86" ht="14.25" customHeight="1">
      <c r="BG86" s="13"/>
      <c r="BH86" s="13"/>
    </row>
    <row r="87" ht="14.25" customHeight="1">
      <c r="BG87" s="13"/>
      <c r="BH87" s="13"/>
    </row>
    <row r="88" ht="14.25" customHeight="1">
      <c r="BG88" s="13"/>
      <c r="BH88" s="13"/>
    </row>
    <row r="89" ht="14.25" customHeight="1">
      <c r="BG89" s="13"/>
      <c r="BH89" s="13"/>
    </row>
    <row r="90" ht="14.25" customHeight="1">
      <c r="BG90" s="13"/>
      <c r="BH90" s="13"/>
    </row>
    <row r="91" ht="14.25" customHeight="1">
      <c r="BG91" s="13"/>
      <c r="BH91" s="13"/>
    </row>
    <row r="92" ht="14.25" customHeight="1">
      <c r="BG92" s="13"/>
      <c r="BH92" s="13"/>
    </row>
    <row r="93" ht="14.25" customHeight="1">
      <c r="BG93" s="13"/>
      <c r="BH93" s="13"/>
    </row>
    <row r="94" ht="14.25" customHeight="1">
      <c r="BG94" s="13"/>
      <c r="BH94" s="13"/>
    </row>
    <row r="95" ht="14.25" customHeight="1">
      <c r="BG95" s="13"/>
      <c r="BH95" s="13"/>
    </row>
    <row r="96" ht="14.25" customHeight="1">
      <c r="BG96" s="13"/>
      <c r="BH96" s="13"/>
    </row>
    <row r="97" ht="14.25" customHeight="1">
      <c r="BG97" s="13"/>
      <c r="BH97" s="13"/>
    </row>
    <row r="98" ht="14.25" customHeight="1">
      <c r="BG98" s="13"/>
      <c r="BH98" s="13"/>
    </row>
    <row r="99" ht="14.25" customHeight="1">
      <c r="BG99" s="13"/>
      <c r="BH99" s="13"/>
    </row>
    <row r="100" ht="14.25" customHeight="1">
      <c r="BG100" s="13"/>
      <c r="BH100" s="13"/>
    </row>
    <row r="101" ht="14.25" customHeight="1">
      <c r="BG101" s="13"/>
      <c r="BH101" s="13"/>
    </row>
    <row r="102" ht="14.25" customHeight="1">
      <c r="BG102" s="13"/>
      <c r="BH102" s="13"/>
    </row>
    <row r="103" ht="14.25" customHeight="1">
      <c r="BG103" s="13"/>
      <c r="BH103" s="13"/>
    </row>
    <row r="104" ht="14.25" customHeight="1">
      <c r="BG104" s="13"/>
      <c r="BH104" s="13"/>
    </row>
    <row r="105" ht="14.25" customHeight="1">
      <c r="BG105" s="13"/>
      <c r="BH105" s="13"/>
    </row>
    <row r="106" ht="14.25" customHeight="1">
      <c r="BG106" s="13"/>
      <c r="BH106" s="13"/>
    </row>
    <row r="107" ht="14.25" customHeight="1">
      <c r="BG107" s="13"/>
      <c r="BH107" s="13"/>
    </row>
    <row r="108" ht="14.25" customHeight="1">
      <c r="BG108" s="13"/>
      <c r="BH108" s="13"/>
    </row>
    <row r="109" ht="14.25" customHeight="1">
      <c r="BG109" s="13"/>
      <c r="BH109" s="13"/>
    </row>
    <row r="110" ht="14.25" customHeight="1">
      <c r="BG110" s="13"/>
      <c r="BH110" s="13"/>
    </row>
    <row r="111" ht="14.25" customHeight="1">
      <c r="BG111" s="13"/>
      <c r="BH111" s="13"/>
    </row>
    <row r="112" ht="14.25" customHeight="1">
      <c r="BG112" s="13"/>
      <c r="BH112" s="13"/>
    </row>
    <row r="113" ht="14.25" customHeight="1">
      <c r="BG113" s="13"/>
      <c r="BH113" s="13"/>
    </row>
    <row r="114" ht="14.25" customHeight="1">
      <c r="BG114" s="13"/>
      <c r="BH114" s="13"/>
    </row>
    <row r="115" ht="14.25" customHeight="1">
      <c r="BG115" s="13"/>
      <c r="BH115" s="13"/>
    </row>
    <row r="116" ht="14.25" customHeight="1">
      <c r="BG116" s="13"/>
      <c r="BH116" s="13"/>
    </row>
    <row r="117" ht="14.25" customHeight="1">
      <c r="BG117" s="13"/>
      <c r="BH117" s="13"/>
    </row>
    <row r="118" ht="14.25" customHeight="1">
      <c r="BG118" s="13"/>
      <c r="BH118" s="13"/>
    </row>
    <row r="119" ht="14.25" customHeight="1">
      <c r="BG119" s="13"/>
      <c r="BH119" s="13"/>
    </row>
    <row r="120" ht="14.25" customHeight="1">
      <c r="BG120" s="13"/>
      <c r="BH120" s="13"/>
    </row>
    <row r="121" ht="14.25" customHeight="1">
      <c r="BG121" s="13"/>
      <c r="BH121" s="13"/>
    </row>
    <row r="122" ht="14.25" customHeight="1">
      <c r="BG122" s="13"/>
      <c r="BH122" s="13"/>
    </row>
    <row r="123" ht="14.25" customHeight="1">
      <c r="BG123" s="13"/>
      <c r="BH123" s="13"/>
    </row>
    <row r="124" ht="14.25" customHeight="1">
      <c r="BG124" s="13"/>
      <c r="BH124" s="13"/>
    </row>
    <row r="125" ht="14.25" customHeight="1">
      <c r="BG125" s="13"/>
      <c r="BH125" s="13"/>
    </row>
    <row r="126" ht="14.25" customHeight="1">
      <c r="BG126" s="13"/>
      <c r="BH126" s="13"/>
    </row>
    <row r="127" ht="14.25" customHeight="1">
      <c r="BG127" s="13"/>
      <c r="BH127" s="13"/>
    </row>
    <row r="128" ht="14.25" customHeight="1">
      <c r="BG128" s="13"/>
      <c r="BH128" s="13"/>
    </row>
    <row r="129" ht="14.25" customHeight="1">
      <c r="BG129" s="13"/>
      <c r="BH129" s="13"/>
    </row>
    <row r="130" ht="14.25" customHeight="1">
      <c r="BG130" s="13"/>
      <c r="BH130" s="13"/>
    </row>
    <row r="131" ht="14.25" customHeight="1">
      <c r="BG131" s="13"/>
      <c r="BH131" s="13"/>
    </row>
    <row r="132" ht="14.25" customHeight="1">
      <c r="BG132" s="13"/>
      <c r="BH132" s="13"/>
    </row>
    <row r="133" ht="14.25" customHeight="1">
      <c r="BG133" s="13"/>
      <c r="BH133" s="13"/>
    </row>
    <row r="134" ht="14.25" customHeight="1">
      <c r="BG134" s="13"/>
      <c r="BH134" s="13"/>
    </row>
    <row r="135" ht="14.25" customHeight="1">
      <c r="BG135" s="13"/>
      <c r="BH135" s="13"/>
    </row>
    <row r="136" ht="14.25" customHeight="1">
      <c r="BG136" s="13"/>
      <c r="BH136" s="13"/>
    </row>
    <row r="137" ht="14.25" customHeight="1">
      <c r="BG137" s="13"/>
      <c r="BH137" s="13"/>
    </row>
    <row r="138" ht="14.25" customHeight="1">
      <c r="BG138" s="13"/>
      <c r="BH138" s="13"/>
    </row>
    <row r="139" ht="14.25" customHeight="1">
      <c r="BG139" s="13"/>
      <c r="BH139" s="13"/>
    </row>
    <row r="140" ht="14.25" customHeight="1">
      <c r="BG140" s="13"/>
      <c r="BH140" s="13"/>
    </row>
    <row r="141" ht="14.25" customHeight="1">
      <c r="BG141" s="13"/>
      <c r="BH141" s="13"/>
    </row>
    <row r="142" ht="14.25" customHeight="1">
      <c r="BG142" s="13"/>
      <c r="BH142" s="13"/>
    </row>
    <row r="143" ht="14.25" customHeight="1">
      <c r="BG143" s="13"/>
      <c r="BH143" s="13"/>
    </row>
    <row r="144" ht="14.25" customHeight="1">
      <c r="BG144" s="13"/>
      <c r="BH144" s="13"/>
    </row>
    <row r="145" ht="14.25" customHeight="1">
      <c r="BG145" s="13"/>
      <c r="BH145" s="13"/>
    </row>
    <row r="146" ht="14.25" customHeight="1">
      <c r="BG146" s="13"/>
      <c r="BH146" s="13"/>
    </row>
    <row r="147" ht="14.25" customHeight="1">
      <c r="BG147" s="13"/>
      <c r="BH147" s="13"/>
    </row>
    <row r="148" ht="14.25" customHeight="1">
      <c r="BG148" s="13"/>
      <c r="BH148" s="13"/>
    </row>
    <row r="149" ht="14.25" customHeight="1">
      <c r="BG149" s="13"/>
      <c r="BH149" s="13"/>
    </row>
    <row r="150" ht="14.25" customHeight="1">
      <c r="BG150" s="13"/>
      <c r="BH150" s="13"/>
    </row>
    <row r="151" ht="14.25" customHeight="1">
      <c r="BG151" s="13"/>
      <c r="BH151" s="13"/>
    </row>
    <row r="152" ht="14.25" customHeight="1">
      <c r="BG152" s="13"/>
      <c r="BH152" s="13"/>
    </row>
    <row r="153" ht="14.25" customHeight="1">
      <c r="BG153" s="13"/>
      <c r="BH153" s="13"/>
    </row>
    <row r="154" ht="14.25" customHeight="1">
      <c r="BG154" s="13"/>
      <c r="BH154" s="13"/>
    </row>
    <row r="155" ht="14.25" customHeight="1">
      <c r="BG155" s="13"/>
      <c r="BH155" s="13"/>
    </row>
    <row r="156" ht="14.25" customHeight="1">
      <c r="BG156" s="13"/>
      <c r="BH156" s="13"/>
    </row>
    <row r="157" ht="14.25" customHeight="1">
      <c r="BG157" s="13"/>
      <c r="BH157" s="13"/>
    </row>
    <row r="158" ht="14.25" customHeight="1">
      <c r="BG158" s="13"/>
      <c r="BH158" s="13"/>
    </row>
    <row r="159" ht="14.25" customHeight="1">
      <c r="BG159" s="13"/>
      <c r="BH159" s="13"/>
    </row>
    <row r="160" ht="14.25" customHeight="1">
      <c r="BG160" s="13"/>
      <c r="BH160" s="13"/>
    </row>
    <row r="161" ht="14.25" customHeight="1">
      <c r="BG161" s="13"/>
      <c r="BH161" s="13"/>
    </row>
    <row r="162" ht="14.25" customHeight="1">
      <c r="BG162" s="13"/>
      <c r="BH162" s="13"/>
    </row>
    <row r="163" ht="14.25" customHeight="1">
      <c r="BG163" s="13"/>
      <c r="BH163" s="13"/>
    </row>
    <row r="164" ht="14.25" customHeight="1">
      <c r="BG164" s="13"/>
      <c r="BH164" s="13"/>
    </row>
    <row r="165" ht="14.25" customHeight="1">
      <c r="BG165" s="13"/>
      <c r="BH165" s="13"/>
    </row>
    <row r="166" ht="14.25" customHeight="1">
      <c r="BG166" s="13"/>
      <c r="BH166" s="13"/>
    </row>
    <row r="167" ht="14.25" customHeight="1">
      <c r="BG167" s="13"/>
      <c r="BH167" s="13"/>
    </row>
    <row r="168" ht="14.25" customHeight="1">
      <c r="BG168" s="13"/>
      <c r="BH168" s="13"/>
    </row>
    <row r="169" ht="14.25" customHeight="1">
      <c r="BG169" s="13"/>
      <c r="BH169" s="13"/>
    </row>
    <row r="170" ht="14.25" customHeight="1">
      <c r="BG170" s="13"/>
      <c r="BH170" s="13"/>
    </row>
    <row r="171" ht="14.25" customHeight="1">
      <c r="BG171" s="13"/>
      <c r="BH171" s="13"/>
    </row>
    <row r="172" ht="14.25" customHeight="1">
      <c r="BG172" s="13"/>
      <c r="BH172" s="13"/>
    </row>
    <row r="173" ht="14.25" customHeight="1">
      <c r="BG173" s="13"/>
      <c r="BH173" s="13"/>
    </row>
    <row r="174" ht="14.25" customHeight="1">
      <c r="BG174" s="13"/>
      <c r="BH174" s="13"/>
    </row>
    <row r="175" ht="14.25" customHeight="1">
      <c r="BG175" s="13"/>
      <c r="BH175" s="13"/>
    </row>
    <row r="176" ht="14.25" customHeight="1">
      <c r="BG176" s="13"/>
      <c r="BH176" s="13"/>
    </row>
    <row r="177" ht="14.25" customHeight="1">
      <c r="BG177" s="13"/>
      <c r="BH177" s="13"/>
    </row>
    <row r="178" ht="14.25" customHeight="1">
      <c r="BG178" s="13"/>
      <c r="BH178" s="13"/>
    </row>
    <row r="179" ht="14.25" customHeight="1">
      <c r="BG179" s="13"/>
      <c r="BH179" s="13"/>
    </row>
    <row r="180" ht="14.25" customHeight="1">
      <c r="BG180" s="13"/>
      <c r="BH180" s="13"/>
    </row>
    <row r="181" ht="14.25" customHeight="1">
      <c r="BG181" s="13"/>
      <c r="BH181" s="13"/>
    </row>
    <row r="182" ht="14.25" customHeight="1">
      <c r="BG182" s="13"/>
      <c r="BH182" s="13"/>
    </row>
    <row r="183" ht="14.25" customHeight="1">
      <c r="BG183" s="13"/>
      <c r="BH183" s="13"/>
    </row>
    <row r="184" ht="14.25" customHeight="1">
      <c r="BG184" s="13"/>
      <c r="BH184" s="13"/>
    </row>
    <row r="185" ht="14.25" customHeight="1">
      <c r="BG185" s="13"/>
      <c r="BH185" s="13"/>
    </row>
    <row r="186" ht="14.25" customHeight="1">
      <c r="BG186" s="13"/>
      <c r="BH186" s="13"/>
    </row>
    <row r="187" ht="14.25" customHeight="1">
      <c r="BG187" s="13"/>
      <c r="BH187" s="13"/>
    </row>
    <row r="188" ht="14.25" customHeight="1">
      <c r="BG188" s="13"/>
      <c r="BH188" s="13"/>
    </row>
    <row r="189" ht="14.25" customHeight="1">
      <c r="BG189" s="13"/>
      <c r="BH189" s="13"/>
    </row>
    <row r="190" ht="14.25" customHeight="1">
      <c r="BG190" s="13"/>
      <c r="BH190" s="13"/>
    </row>
    <row r="191" ht="14.25" customHeight="1">
      <c r="BG191" s="13"/>
      <c r="BH191" s="13"/>
    </row>
    <row r="192" ht="14.25" customHeight="1">
      <c r="BG192" s="13"/>
      <c r="BH192" s="13"/>
    </row>
    <row r="193" ht="14.25" customHeight="1">
      <c r="BG193" s="13"/>
      <c r="BH193" s="13"/>
    </row>
    <row r="194" ht="14.25" customHeight="1">
      <c r="BG194" s="13"/>
      <c r="BH194" s="13"/>
    </row>
    <row r="195" ht="14.25" customHeight="1">
      <c r="BG195" s="13"/>
      <c r="BH195" s="13"/>
    </row>
    <row r="196" ht="14.25" customHeight="1">
      <c r="BG196" s="13"/>
      <c r="BH196" s="13"/>
    </row>
    <row r="197" ht="14.25" customHeight="1">
      <c r="BG197" s="13"/>
      <c r="BH197" s="13"/>
    </row>
    <row r="198" ht="14.25" customHeight="1">
      <c r="BG198" s="13"/>
      <c r="BH198" s="13"/>
    </row>
    <row r="199" ht="14.25" customHeight="1">
      <c r="BG199" s="13"/>
      <c r="BH199" s="13"/>
    </row>
    <row r="200" ht="14.25" customHeight="1">
      <c r="BG200" s="13"/>
      <c r="BH200" s="13"/>
    </row>
    <row r="201" ht="14.25" customHeight="1">
      <c r="BG201" s="13"/>
      <c r="BH201" s="13"/>
    </row>
    <row r="202" ht="14.25" customHeight="1">
      <c r="BG202" s="13"/>
      <c r="BH202" s="13"/>
    </row>
    <row r="203" ht="14.25" customHeight="1">
      <c r="BG203" s="13"/>
      <c r="BH203" s="13"/>
    </row>
    <row r="204" ht="14.25" customHeight="1">
      <c r="BG204" s="13"/>
      <c r="BH204" s="13"/>
    </row>
    <row r="205" ht="14.25" customHeight="1">
      <c r="BG205" s="13"/>
      <c r="BH205" s="13"/>
    </row>
    <row r="206" ht="14.25" customHeight="1">
      <c r="BG206" s="13"/>
      <c r="BH206" s="13"/>
    </row>
    <row r="207" ht="14.25" customHeight="1">
      <c r="BG207" s="13"/>
      <c r="BH207" s="13"/>
    </row>
    <row r="208" ht="14.25" customHeight="1">
      <c r="BG208" s="13"/>
      <c r="BH208" s="13"/>
    </row>
    <row r="209" ht="14.25" customHeight="1">
      <c r="BG209" s="13"/>
      <c r="BH209" s="13"/>
    </row>
    <row r="210" ht="14.25" customHeight="1">
      <c r="BG210" s="13"/>
      <c r="BH210" s="13"/>
    </row>
    <row r="211" ht="14.25" customHeight="1">
      <c r="BG211" s="13"/>
      <c r="BH211" s="13"/>
    </row>
    <row r="212" ht="14.25" customHeight="1">
      <c r="BG212" s="13"/>
      <c r="BH212" s="13"/>
    </row>
    <row r="213" ht="14.25" customHeight="1">
      <c r="BG213" s="13"/>
      <c r="BH213" s="13"/>
    </row>
    <row r="214" ht="14.25" customHeight="1">
      <c r="BG214" s="13"/>
      <c r="BH214" s="13"/>
    </row>
    <row r="215" ht="14.25" customHeight="1">
      <c r="BG215" s="13"/>
      <c r="BH215" s="13"/>
    </row>
    <row r="216" ht="14.25" customHeight="1">
      <c r="BG216" s="13"/>
      <c r="BH216" s="13"/>
    </row>
    <row r="217" ht="14.25" customHeight="1">
      <c r="BG217" s="13"/>
      <c r="BH217" s="13"/>
    </row>
    <row r="218" ht="14.25" customHeight="1">
      <c r="BG218" s="13"/>
      <c r="BH218" s="13"/>
    </row>
    <row r="219" ht="14.25" customHeight="1">
      <c r="BG219" s="13"/>
      <c r="BH219" s="13"/>
    </row>
    <row r="220" ht="14.25" customHeight="1">
      <c r="BG220" s="13"/>
      <c r="BH220" s="13"/>
    </row>
    <row r="221" ht="14.25" customHeight="1">
      <c r="BG221" s="13"/>
      <c r="BH221" s="13"/>
    </row>
    <row r="222" ht="14.25" customHeight="1">
      <c r="BG222" s="13"/>
      <c r="BH222" s="13"/>
    </row>
    <row r="223" ht="14.25" customHeight="1">
      <c r="BG223" s="13"/>
      <c r="BH223" s="13"/>
    </row>
    <row r="224" ht="14.25" customHeight="1">
      <c r="BG224" s="13"/>
      <c r="BH224" s="13"/>
    </row>
    <row r="225" ht="14.25" customHeight="1">
      <c r="BG225" s="13"/>
      <c r="BH225" s="13"/>
    </row>
    <row r="226" ht="14.25" customHeight="1">
      <c r="BG226" s="13"/>
      <c r="BH226" s="13"/>
    </row>
    <row r="227" ht="14.25" customHeight="1">
      <c r="BG227" s="13"/>
      <c r="BH227" s="13"/>
    </row>
    <row r="228" ht="14.25" customHeight="1">
      <c r="BG228" s="13"/>
      <c r="BH228" s="13"/>
    </row>
    <row r="229" ht="14.25" customHeight="1">
      <c r="BG229" s="13"/>
      <c r="BH229" s="13"/>
    </row>
    <row r="230" ht="14.25" customHeight="1">
      <c r="BG230" s="13"/>
      <c r="BH230" s="13"/>
    </row>
    <row r="231" ht="14.25" customHeight="1">
      <c r="BG231" s="13"/>
      <c r="BH231" s="13"/>
    </row>
    <row r="232" ht="14.25" customHeight="1">
      <c r="BG232" s="13"/>
      <c r="BH232" s="13"/>
    </row>
    <row r="233" ht="14.25" customHeight="1">
      <c r="BG233" s="13"/>
      <c r="BH233" s="13"/>
    </row>
    <row r="234" ht="14.25" customHeight="1">
      <c r="BG234" s="13"/>
      <c r="BH234" s="13"/>
    </row>
    <row r="235" ht="14.25" customHeight="1">
      <c r="BG235" s="13"/>
      <c r="BH235" s="13"/>
    </row>
    <row r="236" ht="14.25" customHeight="1">
      <c r="BG236" s="13"/>
      <c r="BH236" s="13"/>
    </row>
    <row r="237" ht="14.25" customHeight="1">
      <c r="BG237" s="13"/>
      <c r="BH237" s="13"/>
    </row>
    <row r="238" ht="14.25" customHeight="1">
      <c r="BG238" s="13"/>
      <c r="BH238" s="13"/>
    </row>
    <row r="239" ht="14.25" customHeight="1">
      <c r="BG239" s="13"/>
      <c r="BH239" s="13"/>
    </row>
    <row r="240" ht="14.25" customHeight="1">
      <c r="BG240" s="13"/>
      <c r="BH240" s="13"/>
    </row>
    <row r="241" ht="14.25" customHeight="1">
      <c r="BG241" s="13"/>
      <c r="BH241" s="13"/>
    </row>
    <row r="242" ht="14.25" customHeight="1">
      <c r="BG242" s="13"/>
      <c r="BH242" s="13"/>
    </row>
    <row r="243" ht="14.25" customHeight="1">
      <c r="BG243" s="13"/>
      <c r="BH243" s="13"/>
    </row>
    <row r="244" ht="14.25" customHeight="1">
      <c r="BG244" s="13"/>
      <c r="BH244" s="13"/>
    </row>
    <row r="245" ht="14.25" customHeight="1">
      <c r="BG245" s="13"/>
      <c r="BH245" s="13"/>
    </row>
    <row r="246" ht="14.25" customHeight="1">
      <c r="BG246" s="13"/>
      <c r="BH246" s="13"/>
    </row>
    <row r="247" ht="14.25" customHeight="1">
      <c r="BG247" s="13"/>
      <c r="BH247" s="13"/>
    </row>
    <row r="248" ht="14.25" customHeight="1">
      <c r="BG248" s="13"/>
      <c r="BH248" s="13"/>
    </row>
    <row r="249" ht="14.25" customHeight="1">
      <c r="BG249" s="13"/>
      <c r="BH249" s="13"/>
    </row>
    <row r="250" ht="14.25" customHeight="1">
      <c r="BG250" s="13"/>
      <c r="BH250" s="13"/>
    </row>
    <row r="251" ht="14.25" customHeight="1">
      <c r="BG251" s="13"/>
      <c r="BH251" s="13"/>
    </row>
    <row r="252" ht="14.25" customHeight="1">
      <c r="BG252" s="13"/>
      <c r="BH252" s="13"/>
    </row>
    <row r="253" ht="14.25" customHeight="1">
      <c r="BG253" s="13"/>
      <c r="BH253" s="13"/>
    </row>
    <row r="254" ht="14.25" customHeight="1">
      <c r="BG254" s="13"/>
      <c r="BH254" s="13"/>
    </row>
    <row r="255" ht="14.25" customHeight="1">
      <c r="BG255" s="13"/>
      <c r="BH255" s="13"/>
    </row>
    <row r="256" ht="14.25" customHeight="1">
      <c r="BG256" s="13"/>
      <c r="BH256" s="13"/>
    </row>
    <row r="257" ht="14.25" customHeight="1">
      <c r="BG257" s="13"/>
      <c r="BH257" s="13"/>
    </row>
    <row r="258" ht="14.25" customHeight="1">
      <c r="BG258" s="13"/>
      <c r="BH258" s="13"/>
    </row>
    <row r="259" ht="14.25" customHeight="1">
      <c r="BG259" s="13"/>
      <c r="BH259" s="13"/>
    </row>
    <row r="260" ht="14.25" customHeight="1">
      <c r="BG260" s="13"/>
      <c r="BH260" s="13"/>
    </row>
    <row r="261" ht="14.25" customHeight="1">
      <c r="BG261" s="13"/>
      <c r="BH261" s="13"/>
    </row>
    <row r="262" ht="14.25" customHeight="1">
      <c r="BG262" s="13"/>
      <c r="BH262" s="13"/>
    </row>
    <row r="263" ht="14.25" customHeight="1">
      <c r="BG263" s="13"/>
      <c r="BH263" s="13"/>
    </row>
    <row r="264" ht="14.25" customHeight="1">
      <c r="BG264" s="13"/>
      <c r="BH264" s="13"/>
    </row>
    <row r="265" ht="14.25" customHeight="1">
      <c r="BG265" s="13"/>
      <c r="BH265" s="13"/>
    </row>
    <row r="266" ht="14.25" customHeight="1">
      <c r="BG266" s="13"/>
      <c r="BH266" s="13"/>
    </row>
    <row r="267" ht="14.25" customHeight="1">
      <c r="BG267" s="13"/>
      <c r="BH267" s="13"/>
    </row>
    <row r="268" ht="14.25" customHeight="1">
      <c r="BG268" s="13"/>
      <c r="BH268" s="13"/>
    </row>
    <row r="269" ht="14.25" customHeight="1">
      <c r="BG269" s="13"/>
      <c r="BH269" s="13"/>
    </row>
    <row r="270" ht="14.25" customHeight="1">
      <c r="BG270" s="13"/>
      <c r="BH270" s="13"/>
    </row>
    <row r="271" ht="14.25" customHeight="1">
      <c r="BG271" s="13"/>
      <c r="BH271" s="13"/>
    </row>
    <row r="272" ht="14.25" customHeight="1">
      <c r="BG272" s="13"/>
      <c r="BH272" s="13"/>
    </row>
    <row r="273" ht="14.25" customHeight="1">
      <c r="BG273" s="13"/>
      <c r="BH273" s="13"/>
    </row>
    <row r="274" ht="14.25" customHeight="1">
      <c r="BG274" s="13"/>
      <c r="BH274" s="13"/>
    </row>
    <row r="275" ht="14.25" customHeight="1">
      <c r="BG275" s="13"/>
      <c r="BH275" s="13"/>
    </row>
    <row r="276" ht="14.25" customHeight="1">
      <c r="BG276" s="13"/>
      <c r="BH276" s="13"/>
    </row>
    <row r="277" ht="14.25" customHeight="1">
      <c r="BG277" s="13"/>
      <c r="BH277" s="13"/>
    </row>
    <row r="278" ht="14.25" customHeight="1">
      <c r="BG278" s="13"/>
      <c r="BH278" s="13"/>
    </row>
    <row r="279" ht="14.25" customHeight="1">
      <c r="BG279" s="13"/>
      <c r="BH279" s="13"/>
    </row>
    <row r="280" ht="14.25" customHeight="1">
      <c r="BG280" s="13"/>
      <c r="BH280" s="13"/>
    </row>
    <row r="281" ht="14.25" customHeight="1">
      <c r="BG281" s="13"/>
      <c r="BH281" s="13"/>
    </row>
    <row r="282" ht="14.25" customHeight="1">
      <c r="BG282" s="13"/>
      <c r="BH282" s="13"/>
    </row>
    <row r="283" ht="14.25" customHeight="1">
      <c r="BG283" s="13"/>
      <c r="BH283" s="13"/>
    </row>
    <row r="284" ht="14.25" customHeight="1">
      <c r="BG284" s="13"/>
      <c r="BH284" s="13"/>
    </row>
    <row r="285" ht="14.25" customHeight="1">
      <c r="BG285" s="13"/>
      <c r="BH285" s="13"/>
    </row>
    <row r="286" ht="14.25" customHeight="1">
      <c r="BG286" s="13"/>
      <c r="BH286" s="13"/>
    </row>
    <row r="287" ht="14.25" customHeight="1">
      <c r="BG287" s="13"/>
      <c r="BH287" s="13"/>
    </row>
    <row r="288" ht="14.25" customHeight="1">
      <c r="BG288" s="13"/>
      <c r="BH288" s="13"/>
    </row>
    <row r="289" ht="14.25" customHeight="1">
      <c r="BG289" s="13"/>
      <c r="BH289" s="13"/>
    </row>
    <row r="290" ht="14.25" customHeight="1">
      <c r="BG290" s="13"/>
      <c r="BH290" s="13"/>
    </row>
    <row r="291" ht="14.25" customHeight="1">
      <c r="BG291" s="13"/>
      <c r="BH291" s="13"/>
    </row>
    <row r="292" ht="14.25" customHeight="1">
      <c r="BG292" s="13"/>
      <c r="BH292" s="13"/>
    </row>
    <row r="293" ht="14.25" customHeight="1">
      <c r="BG293" s="13"/>
      <c r="BH293" s="13"/>
    </row>
    <row r="294" ht="14.25" customHeight="1">
      <c r="BG294" s="13"/>
      <c r="BH294" s="13"/>
    </row>
    <row r="295" ht="14.25" customHeight="1">
      <c r="BG295" s="13"/>
      <c r="BH295" s="13"/>
    </row>
    <row r="296" ht="14.25" customHeight="1">
      <c r="BG296" s="13"/>
      <c r="BH296" s="13"/>
    </row>
    <row r="297" ht="14.25" customHeight="1">
      <c r="BG297" s="13"/>
      <c r="BH297" s="13"/>
    </row>
    <row r="298" ht="14.25" customHeight="1">
      <c r="BG298" s="13"/>
      <c r="BH298" s="13"/>
    </row>
    <row r="299" ht="14.25" customHeight="1">
      <c r="BG299" s="13"/>
      <c r="BH299" s="13"/>
    </row>
    <row r="300" ht="14.25" customHeight="1">
      <c r="BG300" s="13"/>
      <c r="BH300" s="13"/>
    </row>
    <row r="301" ht="14.25" customHeight="1">
      <c r="BG301" s="13"/>
      <c r="BH301" s="13"/>
    </row>
    <row r="302" ht="14.25" customHeight="1">
      <c r="BG302" s="13"/>
      <c r="BH302" s="13"/>
    </row>
    <row r="303" ht="14.25" customHeight="1">
      <c r="BG303" s="13"/>
      <c r="BH303" s="13"/>
    </row>
    <row r="304" ht="14.25" customHeight="1">
      <c r="BG304" s="13"/>
      <c r="BH304" s="13"/>
    </row>
    <row r="305" ht="14.25" customHeight="1">
      <c r="BG305" s="13"/>
      <c r="BH305" s="13"/>
    </row>
    <row r="306" ht="14.25" customHeight="1">
      <c r="BG306" s="13"/>
      <c r="BH306" s="13"/>
    </row>
    <row r="307" ht="14.25" customHeight="1">
      <c r="BG307" s="13"/>
      <c r="BH307" s="13"/>
    </row>
    <row r="308" ht="14.25" customHeight="1">
      <c r="BG308" s="13"/>
      <c r="BH308" s="13"/>
    </row>
    <row r="309" ht="14.25" customHeight="1">
      <c r="BG309" s="13"/>
      <c r="BH309" s="13"/>
    </row>
    <row r="310" ht="14.25" customHeight="1">
      <c r="BG310" s="13"/>
      <c r="BH310" s="13"/>
    </row>
    <row r="311" ht="14.25" customHeight="1">
      <c r="BG311" s="13"/>
      <c r="BH311" s="13"/>
    </row>
    <row r="312" ht="14.25" customHeight="1">
      <c r="BG312" s="13"/>
      <c r="BH312" s="13"/>
    </row>
    <row r="313" ht="14.25" customHeight="1">
      <c r="BG313" s="13"/>
      <c r="BH313" s="13"/>
    </row>
    <row r="314" ht="14.25" customHeight="1">
      <c r="BG314" s="13"/>
      <c r="BH314" s="13"/>
    </row>
    <row r="315" ht="14.25" customHeight="1">
      <c r="BG315" s="13"/>
      <c r="BH315" s="13"/>
    </row>
    <row r="316" ht="14.25" customHeight="1">
      <c r="BG316" s="13"/>
      <c r="BH316" s="13"/>
    </row>
    <row r="317" ht="14.25" customHeight="1">
      <c r="BG317" s="13"/>
      <c r="BH317" s="13"/>
    </row>
    <row r="318" ht="14.25" customHeight="1">
      <c r="BG318" s="13"/>
      <c r="BH318" s="13"/>
    </row>
    <row r="319" ht="14.25" customHeight="1">
      <c r="BG319" s="13"/>
      <c r="BH319" s="13"/>
    </row>
    <row r="320" ht="14.25" customHeight="1">
      <c r="BG320" s="13"/>
      <c r="BH320" s="13"/>
    </row>
    <row r="321" ht="14.25" customHeight="1">
      <c r="BG321" s="13"/>
      <c r="BH321" s="13"/>
    </row>
    <row r="322" ht="14.25" customHeight="1">
      <c r="BG322" s="13"/>
      <c r="BH322" s="13"/>
    </row>
    <row r="323" ht="14.25" customHeight="1">
      <c r="BG323" s="13"/>
      <c r="BH323" s="13"/>
    </row>
    <row r="324" ht="14.25" customHeight="1">
      <c r="BG324" s="13"/>
      <c r="BH324" s="13"/>
    </row>
    <row r="325" ht="14.25" customHeight="1">
      <c r="BG325" s="13"/>
      <c r="BH325" s="13"/>
    </row>
    <row r="326" ht="14.25" customHeight="1">
      <c r="BG326" s="13"/>
      <c r="BH326" s="13"/>
    </row>
    <row r="327" ht="14.25" customHeight="1">
      <c r="BG327" s="13"/>
      <c r="BH327" s="13"/>
    </row>
    <row r="328" ht="14.25" customHeight="1">
      <c r="BG328" s="13"/>
      <c r="BH328" s="13"/>
    </row>
    <row r="329" ht="14.25" customHeight="1">
      <c r="BG329" s="13"/>
      <c r="BH329" s="13"/>
    </row>
    <row r="330" ht="14.25" customHeight="1">
      <c r="BG330" s="13"/>
      <c r="BH330" s="13"/>
    </row>
    <row r="331" ht="14.25" customHeight="1">
      <c r="BG331" s="13"/>
      <c r="BH331" s="13"/>
    </row>
    <row r="332" ht="14.25" customHeight="1">
      <c r="BG332" s="13"/>
      <c r="BH332" s="13"/>
    </row>
    <row r="333" ht="14.25" customHeight="1">
      <c r="BG333" s="13"/>
      <c r="BH333" s="13"/>
    </row>
    <row r="334" ht="14.25" customHeight="1">
      <c r="BG334" s="13"/>
      <c r="BH334" s="13"/>
    </row>
    <row r="335" ht="14.25" customHeight="1">
      <c r="BG335" s="13"/>
      <c r="BH335" s="13"/>
    </row>
    <row r="336" ht="14.25" customHeight="1">
      <c r="BG336" s="13"/>
      <c r="BH336" s="13"/>
    </row>
    <row r="337" ht="14.25" customHeight="1">
      <c r="BG337" s="13"/>
      <c r="BH337" s="13"/>
    </row>
    <row r="338" ht="14.25" customHeight="1">
      <c r="BG338" s="13"/>
      <c r="BH338" s="13"/>
    </row>
    <row r="339" ht="14.25" customHeight="1">
      <c r="BG339" s="13"/>
      <c r="BH339" s="13"/>
    </row>
    <row r="340" ht="14.25" customHeight="1">
      <c r="BG340" s="13"/>
      <c r="BH340" s="13"/>
    </row>
    <row r="341" ht="14.25" customHeight="1">
      <c r="BG341" s="13"/>
      <c r="BH341" s="13"/>
    </row>
    <row r="342" ht="14.25" customHeight="1">
      <c r="BG342" s="13"/>
      <c r="BH342" s="13"/>
    </row>
    <row r="343" ht="14.25" customHeight="1">
      <c r="BG343" s="13"/>
      <c r="BH343" s="13"/>
    </row>
    <row r="344" ht="14.25" customHeight="1">
      <c r="BG344" s="13"/>
      <c r="BH344" s="13"/>
    </row>
    <row r="345" ht="14.25" customHeight="1">
      <c r="BG345" s="13"/>
      <c r="BH345" s="13"/>
    </row>
    <row r="346" ht="14.25" customHeight="1">
      <c r="BG346" s="13"/>
      <c r="BH346" s="13"/>
    </row>
    <row r="347" ht="14.25" customHeight="1">
      <c r="BG347" s="13"/>
      <c r="BH347" s="13"/>
    </row>
    <row r="348" ht="14.25" customHeight="1">
      <c r="BG348" s="13"/>
      <c r="BH348" s="13"/>
    </row>
    <row r="349" ht="14.25" customHeight="1">
      <c r="BG349" s="13"/>
      <c r="BH349" s="13"/>
    </row>
    <row r="350" ht="14.25" customHeight="1">
      <c r="BG350" s="13"/>
      <c r="BH350" s="13"/>
    </row>
    <row r="351" ht="14.25" customHeight="1">
      <c r="BG351" s="13"/>
      <c r="BH351" s="13"/>
    </row>
    <row r="352" ht="14.25" customHeight="1">
      <c r="BG352" s="13"/>
      <c r="BH352" s="13"/>
    </row>
    <row r="353" ht="14.25" customHeight="1">
      <c r="BG353" s="13"/>
      <c r="BH353" s="13"/>
    </row>
    <row r="354" ht="14.25" customHeight="1">
      <c r="BG354" s="13"/>
      <c r="BH354" s="13"/>
    </row>
    <row r="355" ht="14.25" customHeight="1">
      <c r="BG355" s="13"/>
      <c r="BH355" s="13"/>
    </row>
    <row r="356" ht="14.25" customHeight="1">
      <c r="BG356" s="13"/>
      <c r="BH356" s="13"/>
    </row>
    <row r="357" ht="14.25" customHeight="1">
      <c r="BG357" s="13"/>
      <c r="BH357" s="13"/>
    </row>
    <row r="358" ht="14.25" customHeight="1">
      <c r="BG358" s="13"/>
      <c r="BH358" s="13"/>
    </row>
    <row r="359" ht="14.25" customHeight="1">
      <c r="BG359" s="13"/>
      <c r="BH359" s="13"/>
    </row>
    <row r="360" ht="14.25" customHeight="1">
      <c r="BG360" s="13"/>
      <c r="BH360" s="13"/>
    </row>
    <row r="361" ht="14.25" customHeight="1">
      <c r="BG361" s="13"/>
      <c r="BH361" s="13"/>
    </row>
    <row r="362" ht="14.25" customHeight="1">
      <c r="BG362" s="13"/>
      <c r="BH362" s="13"/>
    </row>
    <row r="363" ht="14.25" customHeight="1">
      <c r="BG363" s="13"/>
      <c r="BH363" s="13"/>
    </row>
    <row r="364" ht="14.25" customHeight="1">
      <c r="BG364" s="13"/>
      <c r="BH364" s="13"/>
    </row>
    <row r="365" ht="14.25" customHeight="1">
      <c r="BG365" s="13"/>
      <c r="BH365" s="13"/>
    </row>
    <row r="366" ht="14.25" customHeight="1">
      <c r="BG366" s="13"/>
      <c r="BH366" s="13"/>
    </row>
    <row r="367" ht="14.25" customHeight="1">
      <c r="BG367" s="13"/>
      <c r="BH367" s="13"/>
    </row>
    <row r="368" ht="14.25" customHeight="1">
      <c r="BG368" s="13"/>
      <c r="BH368" s="13"/>
    </row>
    <row r="369" ht="14.25" customHeight="1">
      <c r="BG369" s="13"/>
      <c r="BH369" s="13"/>
    </row>
    <row r="370" ht="14.25" customHeight="1">
      <c r="BG370" s="13"/>
      <c r="BH370" s="13"/>
    </row>
    <row r="371" ht="14.25" customHeight="1">
      <c r="BG371" s="13"/>
      <c r="BH371" s="13"/>
    </row>
    <row r="372" ht="14.25" customHeight="1">
      <c r="BG372" s="13"/>
      <c r="BH372" s="13"/>
    </row>
    <row r="373" ht="14.25" customHeight="1">
      <c r="BG373" s="13"/>
      <c r="BH373" s="13"/>
    </row>
    <row r="374" ht="14.25" customHeight="1">
      <c r="BG374" s="13"/>
      <c r="BH374" s="13"/>
    </row>
    <row r="375" ht="14.25" customHeight="1">
      <c r="BG375" s="13"/>
      <c r="BH375" s="13"/>
    </row>
    <row r="376" ht="14.25" customHeight="1">
      <c r="BG376" s="13"/>
      <c r="BH376" s="13"/>
    </row>
    <row r="377" ht="14.25" customHeight="1">
      <c r="BG377" s="13"/>
      <c r="BH377" s="13"/>
    </row>
    <row r="378" ht="14.25" customHeight="1">
      <c r="BG378" s="13"/>
      <c r="BH378" s="13"/>
    </row>
    <row r="379" ht="14.25" customHeight="1">
      <c r="BG379" s="13"/>
      <c r="BH379" s="13"/>
    </row>
    <row r="380" ht="14.25" customHeight="1">
      <c r="BG380" s="13"/>
      <c r="BH380" s="13"/>
    </row>
    <row r="381" ht="14.25" customHeight="1">
      <c r="BG381" s="13"/>
      <c r="BH381" s="13"/>
    </row>
    <row r="382" ht="14.25" customHeight="1">
      <c r="BG382" s="13"/>
      <c r="BH382" s="13"/>
    </row>
    <row r="383" ht="14.25" customHeight="1">
      <c r="BG383" s="13"/>
      <c r="BH383" s="13"/>
    </row>
    <row r="384" ht="14.25" customHeight="1">
      <c r="BG384" s="13"/>
      <c r="BH384" s="13"/>
    </row>
    <row r="385" ht="14.25" customHeight="1">
      <c r="BG385" s="13"/>
      <c r="BH385" s="13"/>
    </row>
    <row r="386" ht="14.25" customHeight="1">
      <c r="BG386" s="13"/>
      <c r="BH386" s="13"/>
    </row>
    <row r="387" ht="14.25" customHeight="1">
      <c r="BG387" s="13"/>
      <c r="BH387" s="13"/>
    </row>
    <row r="388" ht="14.25" customHeight="1">
      <c r="BG388" s="13"/>
      <c r="BH388" s="13"/>
    </row>
    <row r="389" ht="14.25" customHeight="1">
      <c r="BG389" s="13"/>
      <c r="BH389" s="13"/>
    </row>
    <row r="390" ht="14.25" customHeight="1">
      <c r="BG390" s="13"/>
      <c r="BH390" s="13"/>
    </row>
    <row r="391" ht="14.25" customHeight="1">
      <c r="BG391" s="13"/>
      <c r="BH391" s="13"/>
    </row>
    <row r="392" ht="14.25" customHeight="1">
      <c r="BG392" s="13"/>
      <c r="BH392" s="13"/>
    </row>
    <row r="393" ht="14.25" customHeight="1">
      <c r="BG393" s="13"/>
      <c r="BH393" s="13"/>
    </row>
    <row r="394" ht="14.25" customHeight="1">
      <c r="BG394" s="13"/>
      <c r="BH394" s="13"/>
    </row>
    <row r="395" ht="14.25" customHeight="1">
      <c r="BG395" s="13"/>
      <c r="BH395" s="13"/>
    </row>
    <row r="396" ht="14.25" customHeight="1">
      <c r="BG396" s="13"/>
      <c r="BH396" s="13"/>
    </row>
    <row r="397" ht="14.25" customHeight="1">
      <c r="BG397" s="13"/>
      <c r="BH397" s="13"/>
    </row>
    <row r="398" ht="14.25" customHeight="1">
      <c r="BG398" s="13"/>
      <c r="BH398" s="13"/>
    </row>
    <row r="399" ht="14.25" customHeight="1">
      <c r="BG399" s="13"/>
      <c r="BH399" s="13"/>
    </row>
    <row r="400" ht="14.25" customHeight="1">
      <c r="BG400" s="13"/>
      <c r="BH400" s="13"/>
    </row>
    <row r="401" ht="14.25" customHeight="1">
      <c r="BG401" s="13"/>
      <c r="BH401" s="13"/>
    </row>
    <row r="402" ht="14.25" customHeight="1">
      <c r="BG402" s="13"/>
      <c r="BH402" s="13"/>
    </row>
    <row r="403" ht="14.25" customHeight="1">
      <c r="BG403" s="13"/>
      <c r="BH403" s="13"/>
    </row>
    <row r="404" ht="14.25" customHeight="1">
      <c r="BG404" s="13"/>
      <c r="BH404" s="13"/>
    </row>
    <row r="405" ht="14.25" customHeight="1">
      <c r="BG405" s="13"/>
      <c r="BH405" s="13"/>
    </row>
    <row r="406" ht="14.25" customHeight="1">
      <c r="BG406" s="13"/>
      <c r="BH406" s="13"/>
    </row>
    <row r="407" ht="14.25" customHeight="1">
      <c r="BG407" s="13"/>
      <c r="BH407" s="13"/>
    </row>
    <row r="408" ht="14.25" customHeight="1">
      <c r="BG408" s="13"/>
      <c r="BH408" s="13"/>
    </row>
    <row r="409" ht="14.25" customHeight="1">
      <c r="BG409" s="13"/>
      <c r="BH409" s="13"/>
    </row>
    <row r="410" ht="14.25" customHeight="1">
      <c r="BG410" s="13"/>
      <c r="BH410" s="13"/>
    </row>
    <row r="411" ht="14.25" customHeight="1">
      <c r="BG411" s="13"/>
      <c r="BH411" s="13"/>
    </row>
    <row r="412" ht="14.25" customHeight="1">
      <c r="BG412" s="13"/>
      <c r="BH412" s="13"/>
    </row>
    <row r="413" ht="14.25" customHeight="1">
      <c r="BG413" s="13"/>
      <c r="BH413" s="13"/>
    </row>
    <row r="414" ht="14.25" customHeight="1">
      <c r="BG414" s="13"/>
      <c r="BH414" s="13"/>
    </row>
    <row r="415" ht="14.25" customHeight="1">
      <c r="BG415" s="13"/>
      <c r="BH415" s="13"/>
    </row>
    <row r="416" ht="14.25" customHeight="1">
      <c r="BG416" s="13"/>
      <c r="BH416" s="13"/>
    </row>
    <row r="417" ht="14.25" customHeight="1">
      <c r="BG417" s="13"/>
      <c r="BH417" s="13"/>
    </row>
    <row r="418" ht="14.25" customHeight="1">
      <c r="BG418" s="13"/>
      <c r="BH418" s="13"/>
    </row>
    <row r="419" ht="14.25" customHeight="1">
      <c r="BG419" s="13"/>
      <c r="BH419" s="13"/>
    </row>
    <row r="420" ht="14.25" customHeight="1">
      <c r="BG420" s="13"/>
      <c r="BH420" s="13"/>
    </row>
    <row r="421" ht="14.25" customHeight="1">
      <c r="BG421" s="13"/>
      <c r="BH421" s="13"/>
    </row>
    <row r="422" ht="14.25" customHeight="1">
      <c r="BG422" s="13"/>
      <c r="BH422" s="13"/>
    </row>
    <row r="423" ht="14.25" customHeight="1">
      <c r="BG423" s="13"/>
      <c r="BH423" s="13"/>
    </row>
    <row r="424" ht="14.25" customHeight="1">
      <c r="BG424" s="13"/>
      <c r="BH424" s="13"/>
    </row>
    <row r="425" ht="14.25" customHeight="1">
      <c r="BG425" s="13"/>
      <c r="BH425" s="13"/>
    </row>
    <row r="426" ht="14.25" customHeight="1">
      <c r="BG426" s="13"/>
      <c r="BH426" s="13"/>
    </row>
    <row r="427" ht="14.25" customHeight="1">
      <c r="BG427" s="13"/>
      <c r="BH427" s="13"/>
    </row>
    <row r="428" ht="14.25" customHeight="1">
      <c r="BG428" s="13"/>
      <c r="BH428" s="13"/>
    </row>
    <row r="429" ht="14.25" customHeight="1">
      <c r="BG429" s="13"/>
      <c r="BH429" s="13"/>
    </row>
    <row r="430" ht="14.25" customHeight="1">
      <c r="BG430" s="13"/>
      <c r="BH430" s="13"/>
    </row>
    <row r="431" ht="14.25" customHeight="1">
      <c r="BG431" s="13"/>
      <c r="BH431" s="13"/>
    </row>
    <row r="432" ht="14.25" customHeight="1">
      <c r="BG432" s="13"/>
      <c r="BH432" s="13"/>
    </row>
    <row r="433" ht="14.25" customHeight="1">
      <c r="BG433" s="13"/>
      <c r="BH433" s="13"/>
    </row>
    <row r="434" ht="14.25" customHeight="1">
      <c r="BG434" s="13"/>
      <c r="BH434" s="13"/>
    </row>
    <row r="435" ht="14.25" customHeight="1">
      <c r="BG435" s="13"/>
      <c r="BH435" s="13"/>
    </row>
    <row r="436" ht="14.25" customHeight="1">
      <c r="BG436" s="13"/>
      <c r="BH436" s="13"/>
    </row>
    <row r="437" ht="14.25" customHeight="1">
      <c r="BG437" s="13"/>
      <c r="BH437" s="13"/>
    </row>
    <row r="438" ht="14.25" customHeight="1">
      <c r="BG438" s="13"/>
      <c r="BH438" s="13"/>
    </row>
    <row r="439" ht="14.25" customHeight="1">
      <c r="BG439" s="13"/>
      <c r="BH439" s="13"/>
    </row>
    <row r="440" ht="14.25" customHeight="1">
      <c r="BG440" s="13"/>
      <c r="BH440" s="13"/>
    </row>
    <row r="441" ht="14.25" customHeight="1">
      <c r="BG441" s="13"/>
      <c r="BH441" s="13"/>
    </row>
    <row r="442" ht="14.25" customHeight="1">
      <c r="BG442" s="13"/>
      <c r="BH442" s="13"/>
    </row>
    <row r="443" ht="14.25" customHeight="1">
      <c r="BG443" s="13"/>
      <c r="BH443" s="13"/>
    </row>
    <row r="444" ht="14.25" customHeight="1">
      <c r="BG444" s="13"/>
      <c r="BH444" s="13"/>
    </row>
    <row r="445" ht="14.25" customHeight="1">
      <c r="BG445" s="13"/>
      <c r="BH445" s="13"/>
    </row>
    <row r="446" ht="14.25" customHeight="1">
      <c r="BG446" s="13"/>
      <c r="BH446" s="13"/>
    </row>
    <row r="447" ht="14.25" customHeight="1">
      <c r="BG447" s="13"/>
      <c r="BH447" s="13"/>
    </row>
    <row r="448" ht="14.25" customHeight="1">
      <c r="BG448" s="13"/>
      <c r="BH448" s="13"/>
    </row>
    <row r="449" ht="14.25" customHeight="1">
      <c r="BG449" s="13"/>
      <c r="BH449" s="13"/>
    </row>
    <row r="450" ht="14.25" customHeight="1">
      <c r="BG450" s="13"/>
      <c r="BH450" s="13"/>
    </row>
    <row r="451" ht="14.25" customHeight="1">
      <c r="BG451" s="13"/>
      <c r="BH451" s="13"/>
    </row>
    <row r="452" ht="14.25" customHeight="1">
      <c r="BG452" s="13"/>
      <c r="BH452" s="13"/>
    </row>
    <row r="453" ht="14.25" customHeight="1">
      <c r="BG453" s="13"/>
      <c r="BH453" s="13"/>
    </row>
    <row r="454" ht="14.25" customHeight="1">
      <c r="BG454" s="13"/>
      <c r="BH454" s="13"/>
    </row>
    <row r="455" ht="14.25" customHeight="1">
      <c r="BG455" s="13"/>
      <c r="BH455" s="13"/>
    </row>
    <row r="456" ht="14.25" customHeight="1">
      <c r="BG456" s="13"/>
      <c r="BH456" s="13"/>
    </row>
    <row r="457" ht="14.25" customHeight="1">
      <c r="BG457" s="13"/>
      <c r="BH457" s="13"/>
    </row>
    <row r="458" ht="14.25" customHeight="1">
      <c r="BG458" s="13"/>
      <c r="BH458" s="13"/>
    </row>
    <row r="459" ht="14.25" customHeight="1">
      <c r="BG459" s="13"/>
      <c r="BH459" s="13"/>
    </row>
    <row r="460" ht="14.25" customHeight="1">
      <c r="BG460" s="13"/>
      <c r="BH460" s="13"/>
    </row>
    <row r="461" ht="14.25" customHeight="1">
      <c r="BG461" s="13"/>
      <c r="BH461" s="13"/>
    </row>
    <row r="462" ht="14.25" customHeight="1">
      <c r="BG462" s="13"/>
      <c r="BH462" s="13"/>
    </row>
    <row r="463" ht="14.25" customHeight="1">
      <c r="BG463" s="13"/>
      <c r="BH463" s="13"/>
    </row>
    <row r="464" ht="14.25" customHeight="1">
      <c r="BG464" s="13"/>
      <c r="BH464" s="13"/>
    </row>
    <row r="465" ht="14.25" customHeight="1">
      <c r="BG465" s="13"/>
      <c r="BH465" s="13"/>
    </row>
    <row r="466" ht="14.25" customHeight="1">
      <c r="BG466" s="13"/>
      <c r="BH466" s="13"/>
    </row>
    <row r="467" ht="14.25" customHeight="1">
      <c r="BG467" s="13"/>
      <c r="BH467" s="13"/>
    </row>
    <row r="468" ht="14.25" customHeight="1">
      <c r="BG468" s="13"/>
      <c r="BH468" s="13"/>
    </row>
    <row r="469" ht="14.25" customHeight="1">
      <c r="BG469" s="13"/>
      <c r="BH469" s="13"/>
    </row>
    <row r="470" ht="14.25" customHeight="1">
      <c r="BG470" s="13"/>
      <c r="BH470" s="13"/>
    </row>
    <row r="471" ht="14.25" customHeight="1">
      <c r="BG471" s="13"/>
      <c r="BH471" s="13"/>
    </row>
    <row r="472" ht="14.25" customHeight="1">
      <c r="BG472" s="13"/>
      <c r="BH472" s="13"/>
    </row>
    <row r="473" ht="14.25" customHeight="1">
      <c r="BG473" s="13"/>
      <c r="BH473" s="13"/>
    </row>
    <row r="474" ht="14.25" customHeight="1">
      <c r="BG474" s="13"/>
      <c r="BH474" s="13"/>
    </row>
    <row r="475" ht="14.25" customHeight="1">
      <c r="BG475" s="13"/>
      <c r="BH475" s="13"/>
    </row>
    <row r="476" ht="14.25" customHeight="1">
      <c r="BG476" s="13"/>
      <c r="BH476" s="13"/>
    </row>
    <row r="477" ht="14.25" customHeight="1">
      <c r="BG477" s="13"/>
      <c r="BH477" s="13"/>
    </row>
    <row r="478" ht="14.25" customHeight="1">
      <c r="BG478" s="13"/>
      <c r="BH478" s="13"/>
    </row>
    <row r="479" ht="14.25" customHeight="1">
      <c r="BG479" s="13"/>
      <c r="BH479" s="13"/>
    </row>
    <row r="480" ht="14.25" customHeight="1">
      <c r="BG480" s="13"/>
      <c r="BH480" s="13"/>
    </row>
    <row r="481" ht="14.25" customHeight="1">
      <c r="BG481" s="13"/>
      <c r="BH481" s="13"/>
    </row>
    <row r="482" ht="14.25" customHeight="1">
      <c r="BG482" s="13"/>
      <c r="BH482" s="13"/>
    </row>
    <row r="483" ht="14.25" customHeight="1">
      <c r="BG483" s="13"/>
      <c r="BH483" s="13"/>
    </row>
    <row r="484" ht="14.25" customHeight="1">
      <c r="BG484" s="13"/>
      <c r="BH484" s="13"/>
    </row>
    <row r="485" ht="14.25" customHeight="1">
      <c r="BG485" s="13"/>
      <c r="BH485" s="13"/>
    </row>
    <row r="486" ht="14.25" customHeight="1">
      <c r="BG486" s="13"/>
      <c r="BH486" s="13"/>
    </row>
    <row r="487" ht="14.25" customHeight="1">
      <c r="BG487" s="13"/>
      <c r="BH487" s="13"/>
    </row>
    <row r="488" ht="14.25" customHeight="1">
      <c r="BG488" s="13"/>
      <c r="BH488" s="13"/>
    </row>
    <row r="489" ht="14.25" customHeight="1">
      <c r="BG489" s="13"/>
      <c r="BH489" s="13"/>
    </row>
    <row r="490" ht="14.25" customHeight="1">
      <c r="BG490" s="13"/>
      <c r="BH490" s="13"/>
    </row>
    <row r="491" ht="14.25" customHeight="1">
      <c r="BG491" s="13"/>
      <c r="BH491" s="13"/>
    </row>
    <row r="492" ht="14.25" customHeight="1">
      <c r="BG492" s="13"/>
      <c r="BH492" s="13"/>
    </row>
    <row r="493" ht="14.25" customHeight="1">
      <c r="BG493" s="13"/>
      <c r="BH493" s="13"/>
    </row>
    <row r="494" ht="14.25" customHeight="1">
      <c r="BG494" s="13"/>
      <c r="BH494" s="13"/>
    </row>
    <row r="495" ht="14.25" customHeight="1">
      <c r="BG495" s="13"/>
      <c r="BH495" s="13"/>
    </row>
    <row r="496" ht="14.25" customHeight="1">
      <c r="BG496" s="13"/>
      <c r="BH496" s="13"/>
    </row>
    <row r="497" ht="14.25" customHeight="1">
      <c r="BG497" s="13"/>
      <c r="BH497" s="13"/>
    </row>
    <row r="498" ht="14.25" customHeight="1">
      <c r="BG498" s="13"/>
      <c r="BH498" s="13"/>
    </row>
    <row r="499" ht="14.25" customHeight="1">
      <c r="BG499" s="13"/>
      <c r="BH499" s="13"/>
    </row>
    <row r="500" ht="14.25" customHeight="1">
      <c r="BG500" s="13"/>
      <c r="BH500" s="13"/>
    </row>
    <row r="501" ht="14.25" customHeight="1">
      <c r="BG501" s="13"/>
      <c r="BH501" s="13"/>
    </row>
    <row r="502" ht="14.25" customHeight="1">
      <c r="BG502" s="13"/>
      <c r="BH502" s="13"/>
    </row>
    <row r="503" ht="14.25" customHeight="1">
      <c r="BG503" s="13"/>
      <c r="BH503" s="13"/>
    </row>
    <row r="504" ht="14.25" customHeight="1">
      <c r="BG504" s="13"/>
      <c r="BH504" s="13"/>
    </row>
    <row r="505" ht="14.25" customHeight="1">
      <c r="BG505" s="13"/>
      <c r="BH505" s="13"/>
    </row>
    <row r="506" ht="14.25" customHeight="1">
      <c r="BG506" s="13"/>
      <c r="BH506" s="13"/>
    </row>
    <row r="507" ht="14.25" customHeight="1">
      <c r="BG507" s="13"/>
      <c r="BH507" s="13"/>
    </row>
    <row r="508" ht="14.25" customHeight="1">
      <c r="BG508" s="13"/>
      <c r="BH508" s="13"/>
    </row>
    <row r="509" ht="14.25" customHeight="1">
      <c r="BG509" s="13"/>
      <c r="BH509" s="13"/>
    </row>
    <row r="510" ht="14.25" customHeight="1">
      <c r="BG510" s="13"/>
      <c r="BH510" s="13"/>
    </row>
    <row r="511" ht="14.25" customHeight="1">
      <c r="BG511" s="13"/>
      <c r="BH511" s="13"/>
    </row>
    <row r="512" ht="14.25" customHeight="1">
      <c r="BG512" s="13"/>
      <c r="BH512" s="13"/>
    </row>
    <row r="513" ht="14.25" customHeight="1">
      <c r="BG513" s="13"/>
      <c r="BH513" s="13"/>
    </row>
    <row r="514" ht="14.25" customHeight="1">
      <c r="BG514" s="13"/>
      <c r="BH514" s="13"/>
    </row>
    <row r="515" ht="14.25" customHeight="1">
      <c r="BG515" s="13"/>
      <c r="BH515" s="13"/>
    </row>
    <row r="516" ht="14.25" customHeight="1">
      <c r="BG516" s="13"/>
      <c r="BH516" s="13"/>
    </row>
    <row r="517" ht="14.25" customHeight="1">
      <c r="BG517" s="13"/>
      <c r="BH517" s="13"/>
    </row>
    <row r="518" ht="14.25" customHeight="1">
      <c r="BG518" s="13"/>
      <c r="BH518" s="13"/>
    </row>
    <row r="519" ht="14.25" customHeight="1">
      <c r="BG519" s="13"/>
      <c r="BH519" s="13"/>
    </row>
    <row r="520" ht="14.25" customHeight="1">
      <c r="BG520" s="13"/>
      <c r="BH520" s="13"/>
    </row>
    <row r="521" ht="14.25" customHeight="1">
      <c r="BG521" s="13"/>
      <c r="BH521" s="13"/>
    </row>
    <row r="522" ht="14.25" customHeight="1">
      <c r="BG522" s="13"/>
      <c r="BH522" s="13"/>
    </row>
    <row r="523" ht="14.25" customHeight="1">
      <c r="BG523" s="13"/>
      <c r="BH523" s="13"/>
    </row>
    <row r="524" ht="14.25" customHeight="1">
      <c r="BG524" s="13"/>
      <c r="BH524" s="13"/>
    </row>
    <row r="525" ht="14.25" customHeight="1">
      <c r="BG525" s="13"/>
      <c r="BH525" s="13"/>
    </row>
    <row r="526" ht="14.25" customHeight="1">
      <c r="BG526" s="13"/>
      <c r="BH526" s="13"/>
    </row>
    <row r="527" ht="14.25" customHeight="1">
      <c r="BG527" s="13"/>
      <c r="BH527" s="13"/>
    </row>
    <row r="528" ht="14.25" customHeight="1">
      <c r="BG528" s="13"/>
      <c r="BH528" s="13"/>
    </row>
    <row r="529" ht="14.25" customHeight="1">
      <c r="BG529" s="13"/>
      <c r="BH529" s="13"/>
    </row>
    <row r="530" ht="14.25" customHeight="1">
      <c r="BG530" s="13"/>
      <c r="BH530" s="13"/>
    </row>
    <row r="531" ht="14.25" customHeight="1">
      <c r="BG531" s="13"/>
      <c r="BH531" s="13"/>
    </row>
    <row r="532" ht="14.25" customHeight="1">
      <c r="BG532" s="13"/>
      <c r="BH532" s="13"/>
    </row>
    <row r="533" ht="14.25" customHeight="1">
      <c r="BG533" s="13"/>
      <c r="BH533" s="13"/>
    </row>
    <row r="534" ht="14.25" customHeight="1">
      <c r="BG534" s="13"/>
      <c r="BH534" s="13"/>
    </row>
    <row r="535" ht="14.25" customHeight="1">
      <c r="BG535" s="13"/>
      <c r="BH535" s="13"/>
    </row>
    <row r="536" ht="14.25" customHeight="1">
      <c r="BG536" s="13"/>
      <c r="BH536" s="13"/>
    </row>
    <row r="537" ht="14.25" customHeight="1">
      <c r="BG537" s="13"/>
      <c r="BH537" s="13"/>
    </row>
    <row r="538" ht="14.25" customHeight="1">
      <c r="BG538" s="13"/>
      <c r="BH538" s="13"/>
    </row>
    <row r="539" ht="14.25" customHeight="1">
      <c r="BG539" s="13"/>
      <c r="BH539" s="13"/>
    </row>
    <row r="540" ht="14.25" customHeight="1">
      <c r="BG540" s="13"/>
      <c r="BH540" s="13"/>
    </row>
    <row r="541" ht="14.25" customHeight="1">
      <c r="BG541" s="13"/>
      <c r="BH541" s="13"/>
    </row>
    <row r="542" ht="14.25" customHeight="1">
      <c r="BG542" s="13"/>
      <c r="BH542" s="13"/>
    </row>
    <row r="543" ht="14.25" customHeight="1">
      <c r="BG543" s="13"/>
      <c r="BH543" s="13"/>
    </row>
    <row r="544" ht="14.25" customHeight="1">
      <c r="BG544" s="13"/>
      <c r="BH544" s="13"/>
    </row>
    <row r="545" ht="14.25" customHeight="1">
      <c r="BG545" s="13"/>
      <c r="BH545" s="13"/>
    </row>
    <row r="546" ht="14.25" customHeight="1">
      <c r="BG546" s="13"/>
      <c r="BH546" s="13"/>
    </row>
    <row r="547" ht="14.25" customHeight="1">
      <c r="BG547" s="13"/>
      <c r="BH547" s="13"/>
    </row>
    <row r="548" ht="14.25" customHeight="1">
      <c r="BG548" s="13"/>
      <c r="BH548" s="13"/>
    </row>
    <row r="549" ht="14.25" customHeight="1">
      <c r="BG549" s="13"/>
      <c r="BH549" s="13"/>
    </row>
    <row r="550" ht="14.25" customHeight="1">
      <c r="BG550" s="13"/>
      <c r="BH550" s="13"/>
    </row>
    <row r="551" ht="14.25" customHeight="1">
      <c r="BG551" s="13"/>
      <c r="BH551" s="13"/>
    </row>
    <row r="552" ht="14.25" customHeight="1">
      <c r="BG552" s="13"/>
      <c r="BH552" s="13"/>
    </row>
    <row r="553" ht="14.25" customHeight="1">
      <c r="BG553" s="13"/>
      <c r="BH553" s="13"/>
    </row>
    <row r="554" ht="14.25" customHeight="1">
      <c r="BG554" s="13"/>
      <c r="BH554" s="13"/>
    </row>
    <row r="555" ht="14.25" customHeight="1">
      <c r="BG555" s="13"/>
      <c r="BH555" s="13"/>
    </row>
    <row r="556" ht="14.25" customHeight="1">
      <c r="BG556" s="13"/>
      <c r="BH556" s="13"/>
    </row>
    <row r="557" ht="14.25" customHeight="1">
      <c r="BG557" s="13"/>
      <c r="BH557" s="13"/>
    </row>
    <row r="558" ht="14.25" customHeight="1">
      <c r="BG558" s="13"/>
      <c r="BH558" s="13"/>
    </row>
    <row r="559" ht="14.25" customHeight="1">
      <c r="BG559" s="13"/>
      <c r="BH559" s="13"/>
    </row>
    <row r="560" ht="14.25" customHeight="1">
      <c r="BG560" s="13"/>
      <c r="BH560" s="13"/>
    </row>
    <row r="561" ht="14.25" customHeight="1">
      <c r="BG561" s="13"/>
      <c r="BH561" s="13"/>
    </row>
    <row r="562" ht="14.25" customHeight="1">
      <c r="BG562" s="13"/>
      <c r="BH562" s="13"/>
    </row>
    <row r="563" ht="14.25" customHeight="1">
      <c r="BG563" s="13"/>
      <c r="BH563" s="13"/>
    </row>
    <row r="564" ht="14.25" customHeight="1">
      <c r="BG564" s="13"/>
      <c r="BH564" s="13"/>
    </row>
    <row r="565" ht="14.25" customHeight="1">
      <c r="BG565" s="13"/>
      <c r="BH565" s="13"/>
    </row>
    <row r="566" ht="14.25" customHeight="1">
      <c r="BG566" s="13"/>
      <c r="BH566" s="13"/>
    </row>
    <row r="567" ht="14.25" customHeight="1">
      <c r="BG567" s="13"/>
      <c r="BH567" s="13"/>
    </row>
    <row r="568" ht="14.25" customHeight="1">
      <c r="BG568" s="13"/>
      <c r="BH568" s="13"/>
    </row>
    <row r="569" ht="14.25" customHeight="1">
      <c r="BG569" s="13"/>
      <c r="BH569" s="13"/>
    </row>
    <row r="570" ht="14.25" customHeight="1">
      <c r="BG570" s="13"/>
      <c r="BH570" s="13"/>
    </row>
    <row r="571" ht="14.25" customHeight="1">
      <c r="BG571" s="13"/>
      <c r="BH571" s="13"/>
    </row>
    <row r="572" ht="14.25" customHeight="1">
      <c r="BG572" s="13"/>
      <c r="BH572" s="13"/>
    </row>
    <row r="573" ht="14.25" customHeight="1">
      <c r="BG573" s="13"/>
      <c r="BH573" s="13"/>
    </row>
    <row r="574" ht="14.25" customHeight="1">
      <c r="BG574" s="13"/>
      <c r="BH574" s="13"/>
    </row>
    <row r="575" ht="14.25" customHeight="1">
      <c r="BG575" s="13"/>
      <c r="BH575" s="13"/>
    </row>
    <row r="576" ht="14.25" customHeight="1">
      <c r="BG576" s="13"/>
      <c r="BH576" s="13"/>
    </row>
    <row r="577" ht="14.25" customHeight="1">
      <c r="BG577" s="13"/>
      <c r="BH577" s="13"/>
    </row>
    <row r="578" ht="14.25" customHeight="1">
      <c r="BG578" s="13"/>
      <c r="BH578" s="13"/>
    </row>
    <row r="579" ht="14.25" customHeight="1">
      <c r="BG579" s="13"/>
      <c r="BH579" s="13"/>
    </row>
    <row r="580" ht="14.25" customHeight="1">
      <c r="BG580" s="13"/>
      <c r="BH580" s="13"/>
    </row>
    <row r="581" ht="14.25" customHeight="1">
      <c r="BG581" s="13"/>
      <c r="BH581" s="13"/>
    </row>
    <row r="582" ht="14.25" customHeight="1">
      <c r="BG582" s="13"/>
      <c r="BH582" s="13"/>
    </row>
    <row r="583" ht="14.25" customHeight="1">
      <c r="BG583" s="13"/>
      <c r="BH583" s="13"/>
    </row>
    <row r="584" ht="14.25" customHeight="1">
      <c r="BG584" s="13"/>
      <c r="BH584" s="13"/>
    </row>
    <row r="585" ht="14.25" customHeight="1">
      <c r="BG585" s="13"/>
      <c r="BH585" s="13"/>
    </row>
    <row r="586" ht="14.25" customHeight="1">
      <c r="BG586" s="13"/>
      <c r="BH586" s="13"/>
    </row>
    <row r="587" ht="14.25" customHeight="1">
      <c r="BG587" s="13"/>
      <c r="BH587" s="13"/>
    </row>
    <row r="588" ht="14.25" customHeight="1">
      <c r="BG588" s="13"/>
      <c r="BH588" s="13"/>
    </row>
    <row r="589" ht="14.25" customHeight="1">
      <c r="BG589" s="13"/>
      <c r="BH589" s="13"/>
    </row>
    <row r="590" ht="14.25" customHeight="1">
      <c r="BG590" s="13"/>
      <c r="BH590" s="13"/>
    </row>
    <row r="591" ht="14.25" customHeight="1">
      <c r="BG591" s="13"/>
      <c r="BH591" s="13"/>
    </row>
    <row r="592" ht="14.25" customHeight="1">
      <c r="BG592" s="13"/>
      <c r="BH592" s="13"/>
    </row>
    <row r="593" ht="14.25" customHeight="1">
      <c r="BG593" s="13"/>
      <c r="BH593" s="13"/>
    </row>
    <row r="594" ht="14.25" customHeight="1">
      <c r="BG594" s="13"/>
      <c r="BH594" s="13"/>
    </row>
    <row r="595" ht="14.25" customHeight="1">
      <c r="BG595" s="13"/>
      <c r="BH595" s="13"/>
    </row>
    <row r="596" ht="14.25" customHeight="1">
      <c r="BG596" s="13"/>
      <c r="BH596" s="13"/>
    </row>
    <row r="597" ht="14.25" customHeight="1">
      <c r="BG597" s="13"/>
      <c r="BH597" s="13"/>
    </row>
    <row r="598" ht="14.25" customHeight="1">
      <c r="BG598" s="13"/>
      <c r="BH598" s="13"/>
    </row>
    <row r="599" ht="14.25" customHeight="1">
      <c r="BG599" s="13"/>
      <c r="BH599" s="13"/>
    </row>
    <row r="600" ht="14.25" customHeight="1">
      <c r="BG600" s="13"/>
      <c r="BH600" s="13"/>
    </row>
    <row r="601" ht="14.25" customHeight="1">
      <c r="BG601" s="13"/>
      <c r="BH601" s="13"/>
    </row>
    <row r="602" ht="14.25" customHeight="1">
      <c r="BG602" s="13"/>
      <c r="BH602" s="13"/>
    </row>
    <row r="603" ht="14.25" customHeight="1">
      <c r="BG603" s="13"/>
      <c r="BH603" s="13"/>
    </row>
    <row r="604" ht="14.25" customHeight="1">
      <c r="BG604" s="13"/>
      <c r="BH604" s="13"/>
    </row>
    <row r="605" ht="14.25" customHeight="1">
      <c r="BG605" s="13"/>
      <c r="BH605" s="13"/>
    </row>
    <row r="606" ht="14.25" customHeight="1">
      <c r="BG606" s="13"/>
      <c r="BH606" s="13"/>
    </row>
    <row r="607" ht="14.25" customHeight="1">
      <c r="BG607" s="13"/>
      <c r="BH607" s="13"/>
    </row>
    <row r="608" ht="14.25" customHeight="1">
      <c r="BG608" s="13"/>
      <c r="BH608" s="13"/>
    </row>
    <row r="609" ht="14.25" customHeight="1">
      <c r="BG609" s="13"/>
      <c r="BH609" s="13"/>
    </row>
    <row r="610" ht="14.25" customHeight="1">
      <c r="BG610" s="13"/>
      <c r="BH610" s="13"/>
    </row>
    <row r="611" ht="14.25" customHeight="1">
      <c r="BG611" s="13"/>
      <c r="BH611" s="13"/>
    </row>
    <row r="612" ht="14.25" customHeight="1">
      <c r="BG612" s="13"/>
      <c r="BH612" s="13"/>
    </row>
    <row r="613" ht="14.25" customHeight="1">
      <c r="BG613" s="13"/>
      <c r="BH613" s="13"/>
    </row>
    <row r="614" ht="14.25" customHeight="1">
      <c r="BG614" s="13"/>
      <c r="BH614" s="13"/>
    </row>
    <row r="615" ht="14.25" customHeight="1">
      <c r="BG615" s="13"/>
      <c r="BH615" s="13"/>
    </row>
    <row r="616" ht="14.25" customHeight="1">
      <c r="BG616" s="13"/>
      <c r="BH616" s="13"/>
    </row>
    <row r="617" ht="14.25" customHeight="1">
      <c r="BG617" s="13"/>
      <c r="BH617" s="13"/>
    </row>
    <row r="618" ht="14.25" customHeight="1">
      <c r="BG618" s="13"/>
      <c r="BH618" s="13"/>
    </row>
    <row r="619" ht="14.25" customHeight="1">
      <c r="BG619" s="13"/>
      <c r="BH619" s="13"/>
    </row>
    <row r="620" ht="14.25" customHeight="1">
      <c r="BG620" s="13"/>
      <c r="BH620" s="13"/>
    </row>
    <row r="621" ht="14.25" customHeight="1">
      <c r="BG621" s="13"/>
      <c r="BH621" s="13"/>
    </row>
    <row r="622" ht="14.25" customHeight="1">
      <c r="BG622" s="13"/>
      <c r="BH622" s="13"/>
    </row>
    <row r="623" ht="14.25" customHeight="1">
      <c r="BG623" s="13"/>
      <c r="BH623" s="13"/>
    </row>
    <row r="624" ht="14.25" customHeight="1">
      <c r="BG624" s="13"/>
      <c r="BH624" s="13"/>
    </row>
    <row r="625" ht="14.25" customHeight="1">
      <c r="BG625" s="13"/>
      <c r="BH625" s="13"/>
    </row>
    <row r="626" ht="14.25" customHeight="1">
      <c r="BG626" s="13"/>
      <c r="BH626" s="13"/>
    </row>
    <row r="627" ht="14.25" customHeight="1">
      <c r="BG627" s="13"/>
      <c r="BH627" s="13"/>
    </row>
    <row r="628" ht="14.25" customHeight="1">
      <c r="BG628" s="13"/>
      <c r="BH628" s="13"/>
    </row>
    <row r="629" ht="14.25" customHeight="1">
      <c r="BG629" s="13"/>
      <c r="BH629" s="13"/>
    </row>
    <row r="630" ht="14.25" customHeight="1">
      <c r="BG630" s="13"/>
      <c r="BH630" s="13"/>
    </row>
    <row r="631" ht="14.25" customHeight="1">
      <c r="BG631" s="13"/>
      <c r="BH631" s="13"/>
    </row>
    <row r="632" ht="14.25" customHeight="1">
      <c r="BG632" s="13"/>
      <c r="BH632" s="13"/>
    </row>
    <row r="633" ht="14.25" customHeight="1">
      <c r="BG633" s="13"/>
      <c r="BH633" s="13"/>
    </row>
    <row r="634" ht="14.25" customHeight="1">
      <c r="BG634" s="13"/>
      <c r="BH634" s="13"/>
    </row>
    <row r="635" ht="14.25" customHeight="1">
      <c r="BG635" s="13"/>
      <c r="BH635" s="13"/>
    </row>
    <row r="636" ht="14.25" customHeight="1">
      <c r="BG636" s="13"/>
      <c r="BH636" s="13"/>
    </row>
    <row r="637" ht="14.25" customHeight="1">
      <c r="BG637" s="13"/>
      <c r="BH637" s="13"/>
    </row>
    <row r="638" ht="14.25" customHeight="1">
      <c r="BG638" s="13"/>
      <c r="BH638" s="13"/>
    </row>
    <row r="639" ht="14.25" customHeight="1">
      <c r="BG639" s="13"/>
      <c r="BH639" s="13"/>
    </row>
    <row r="640" ht="14.25" customHeight="1">
      <c r="BG640" s="13"/>
      <c r="BH640" s="13"/>
    </row>
    <row r="641" ht="14.25" customHeight="1">
      <c r="BG641" s="13"/>
      <c r="BH641" s="13"/>
    </row>
    <row r="642" ht="14.25" customHeight="1">
      <c r="BG642" s="13"/>
      <c r="BH642" s="13"/>
    </row>
    <row r="643" ht="14.25" customHeight="1">
      <c r="BG643" s="13"/>
      <c r="BH643" s="13"/>
    </row>
    <row r="644" ht="14.25" customHeight="1">
      <c r="BG644" s="13"/>
      <c r="BH644" s="13"/>
    </row>
    <row r="645" ht="14.25" customHeight="1">
      <c r="BG645" s="13"/>
      <c r="BH645" s="13"/>
    </row>
    <row r="646" ht="14.25" customHeight="1">
      <c r="BG646" s="13"/>
      <c r="BH646" s="13"/>
    </row>
    <row r="647" ht="14.25" customHeight="1">
      <c r="BG647" s="13"/>
      <c r="BH647" s="13"/>
    </row>
    <row r="648" ht="14.25" customHeight="1">
      <c r="BG648" s="13"/>
      <c r="BH648" s="13"/>
    </row>
    <row r="649" ht="14.25" customHeight="1">
      <c r="BG649" s="13"/>
      <c r="BH649" s="13"/>
    </row>
    <row r="650" ht="14.25" customHeight="1">
      <c r="BG650" s="13"/>
      <c r="BH650" s="13"/>
    </row>
    <row r="651" ht="14.25" customHeight="1">
      <c r="BG651" s="13"/>
      <c r="BH651" s="13"/>
    </row>
    <row r="652" ht="14.25" customHeight="1">
      <c r="BG652" s="13"/>
      <c r="BH652" s="13"/>
    </row>
    <row r="653" ht="14.25" customHeight="1">
      <c r="BG653" s="13"/>
      <c r="BH653" s="13"/>
    </row>
    <row r="654" ht="14.25" customHeight="1">
      <c r="BG654" s="13"/>
      <c r="BH654" s="13"/>
    </row>
    <row r="655" ht="14.25" customHeight="1">
      <c r="BG655" s="13"/>
      <c r="BH655" s="13"/>
    </row>
    <row r="656" ht="14.25" customHeight="1">
      <c r="BG656" s="13"/>
      <c r="BH656" s="13"/>
    </row>
    <row r="657" ht="14.25" customHeight="1">
      <c r="BG657" s="13"/>
      <c r="BH657" s="13"/>
    </row>
    <row r="658" ht="14.25" customHeight="1">
      <c r="BG658" s="13"/>
      <c r="BH658" s="13"/>
    </row>
    <row r="659" ht="14.25" customHeight="1">
      <c r="BG659" s="13"/>
      <c r="BH659" s="13"/>
    </row>
    <row r="660" ht="14.25" customHeight="1">
      <c r="BG660" s="13"/>
      <c r="BH660" s="13"/>
    </row>
    <row r="661" ht="14.25" customHeight="1">
      <c r="BG661" s="13"/>
      <c r="BH661" s="13"/>
    </row>
    <row r="662" ht="14.25" customHeight="1">
      <c r="BG662" s="13"/>
      <c r="BH662" s="13"/>
    </row>
    <row r="663" ht="14.25" customHeight="1">
      <c r="BG663" s="13"/>
      <c r="BH663" s="13"/>
    </row>
    <row r="664" ht="14.25" customHeight="1">
      <c r="BG664" s="13"/>
      <c r="BH664" s="13"/>
    </row>
    <row r="665" ht="14.25" customHeight="1">
      <c r="BG665" s="13"/>
      <c r="BH665" s="13"/>
    </row>
    <row r="666" ht="14.25" customHeight="1">
      <c r="BG666" s="13"/>
      <c r="BH666" s="13"/>
    </row>
    <row r="667" ht="14.25" customHeight="1">
      <c r="BG667" s="13"/>
      <c r="BH667" s="13"/>
    </row>
    <row r="668" ht="14.25" customHeight="1">
      <c r="BG668" s="13"/>
      <c r="BH668" s="13"/>
    </row>
    <row r="669" ht="14.25" customHeight="1">
      <c r="BG669" s="13"/>
      <c r="BH669" s="13"/>
    </row>
    <row r="670" ht="14.25" customHeight="1">
      <c r="BG670" s="13"/>
      <c r="BH670" s="13"/>
    </row>
    <row r="671" ht="14.25" customHeight="1">
      <c r="BG671" s="13"/>
      <c r="BH671" s="13"/>
    </row>
    <row r="672" ht="14.25" customHeight="1">
      <c r="BG672" s="13"/>
      <c r="BH672" s="13"/>
    </row>
    <row r="673" ht="14.25" customHeight="1">
      <c r="BG673" s="13"/>
      <c r="BH673" s="13"/>
    </row>
    <row r="674" ht="14.25" customHeight="1">
      <c r="BG674" s="13"/>
      <c r="BH674" s="13"/>
    </row>
    <row r="675" ht="14.25" customHeight="1">
      <c r="BG675" s="13"/>
      <c r="BH675" s="13"/>
    </row>
    <row r="676" ht="14.25" customHeight="1">
      <c r="BG676" s="13"/>
      <c r="BH676" s="13"/>
    </row>
    <row r="677" ht="14.25" customHeight="1">
      <c r="BG677" s="13"/>
      <c r="BH677" s="13"/>
    </row>
    <row r="678" ht="14.25" customHeight="1">
      <c r="BG678" s="13"/>
      <c r="BH678" s="13"/>
    </row>
    <row r="679" ht="14.25" customHeight="1">
      <c r="BG679" s="13"/>
      <c r="BH679" s="13"/>
    </row>
    <row r="680" ht="14.25" customHeight="1">
      <c r="BG680" s="13"/>
      <c r="BH680" s="13"/>
    </row>
    <row r="681" ht="14.25" customHeight="1">
      <c r="BG681" s="13"/>
      <c r="BH681" s="13"/>
    </row>
    <row r="682" ht="14.25" customHeight="1">
      <c r="BG682" s="13"/>
      <c r="BH682" s="13"/>
    </row>
    <row r="683" ht="14.25" customHeight="1">
      <c r="BG683" s="13"/>
      <c r="BH683" s="13"/>
    </row>
    <row r="684" ht="14.25" customHeight="1">
      <c r="BG684" s="13"/>
      <c r="BH684" s="13"/>
    </row>
    <row r="685" ht="14.25" customHeight="1">
      <c r="BG685" s="13"/>
      <c r="BH685" s="13"/>
    </row>
    <row r="686" ht="14.25" customHeight="1">
      <c r="BG686" s="13"/>
      <c r="BH686" s="13"/>
    </row>
    <row r="687" ht="14.25" customHeight="1">
      <c r="BG687" s="13"/>
      <c r="BH687" s="13"/>
    </row>
    <row r="688" ht="14.25" customHeight="1">
      <c r="BG688" s="13"/>
      <c r="BH688" s="13"/>
    </row>
    <row r="689" ht="14.25" customHeight="1">
      <c r="BG689" s="13"/>
      <c r="BH689" s="13"/>
    </row>
    <row r="690" ht="14.25" customHeight="1">
      <c r="BG690" s="13"/>
      <c r="BH690" s="13"/>
    </row>
    <row r="691" ht="14.25" customHeight="1">
      <c r="BG691" s="13"/>
      <c r="BH691" s="13"/>
    </row>
    <row r="692" ht="14.25" customHeight="1">
      <c r="BG692" s="13"/>
      <c r="BH692" s="13"/>
    </row>
    <row r="693" ht="14.25" customHeight="1">
      <c r="BG693" s="13"/>
      <c r="BH693" s="13"/>
    </row>
    <row r="694" ht="14.25" customHeight="1">
      <c r="BG694" s="13"/>
      <c r="BH694" s="13"/>
    </row>
    <row r="695" ht="14.25" customHeight="1">
      <c r="BG695" s="13"/>
      <c r="BH695" s="13"/>
    </row>
    <row r="696" ht="14.25" customHeight="1">
      <c r="BG696" s="13"/>
      <c r="BH696" s="13"/>
    </row>
    <row r="697" ht="14.25" customHeight="1">
      <c r="BG697" s="13"/>
      <c r="BH697" s="13"/>
    </row>
    <row r="698" ht="14.25" customHeight="1">
      <c r="BG698" s="13"/>
      <c r="BH698" s="13"/>
    </row>
    <row r="699" ht="14.25" customHeight="1">
      <c r="BG699" s="13"/>
      <c r="BH699" s="13"/>
    </row>
    <row r="700" ht="14.25" customHeight="1">
      <c r="BG700" s="13"/>
      <c r="BH700" s="13"/>
    </row>
    <row r="701" ht="14.25" customHeight="1">
      <c r="BG701" s="13"/>
      <c r="BH701" s="13"/>
    </row>
    <row r="702" ht="14.25" customHeight="1">
      <c r="BG702" s="13"/>
      <c r="BH702" s="13"/>
    </row>
    <row r="703" ht="14.25" customHeight="1">
      <c r="BG703" s="13"/>
      <c r="BH703" s="13"/>
    </row>
    <row r="704" ht="14.25" customHeight="1">
      <c r="BG704" s="13"/>
      <c r="BH704" s="13"/>
    </row>
    <row r="705" ht="14.25" customHeight="1">
      <c r="BG705" s="13"/>
      <c r="BH705" s="13"/>
    </row>
    <row r="706" ht="14.25" customHeight="1">
      <c r="BG706" s="13"/>
      <c r="BH706" s="13"/>
    </row>
    <row r="707" ht="14.25" customHeight="1">
      <c r="BG707" s="13"/>
      <c r="BH707" s="13"/>
    </row>
    <row r="708" ht="14.25" customHeight="1">
      <c r="BG708" s="13"/>
      <c r="BH708" s="13"/>
    </row>
    <row r="709" ht="14.25" customHeight="1">
      <c r="BG709" s="13"/>
      <c r="BH709" s="13"/>
    </row>
    <row r="710" ht="14.25" customHeight="1">
      <c r="BG710" s="13"/>
      <c r="BH710" s="13"/>
    </row>
    <row r="711" ht="14.25" customHeight="1">
      <c r="BG711" s="13"/>
      <c r="BH711" s="13"/>
    </row>
    <row r="712" ht="14.25" customHeight="1">
      <c r="BG712" s="13"/>
      <c r="BH712" s="13"/>
    </row>
    <row r="713" ht="14.25" customHeight="1">
      <c r="BG713" s="13"/>
      <c r="BH713" s="13"/>
    </row>
    <row r="714" ht="14.25" customHeight="1">
      <c r="BG714" s="13"/>
      <c r="BH714" s="13"/>
    </row>
    <row r="715" ht="14.25" customHeight="1">
      <c r="BG715" s="13"/>
      <c r="BH715" s="13"/>
    </row>
    <row r="716" ht="14.25" customHeight="1">
      <c r="BG716" s="13"/>
      <c r="BH716" s="13"/>
    </row>
    <row r="717" ht="14.25" customHeight="1">
      <c r="BG717" s="13"/>
      <c r="BH717" s="13"/>
    </row>
    <row r="718" ht="14.25" customHeight="1">
      <c r="BG718" s="13"/>
      <c r="BH718" s="13"/>
    </row>
    <row r="719" ht="14.25" customHeight="1">
      <c r="BG719" s="13"/>
      <c r="BH719" s="13"/>
    </row>
    <row r="720" ht="14.25" customHeight="1">
      <c r="BG720" s="13"/>
      <c r="BH720" s="13"/>
    </row>
    <row r="721" ht="14.25" customHeight="1">
      <c r="BG721" s="13"/>
      <c r="BH721" s="13"/>
    </row>
    <row r="722" ht="14.25" customHeight="1">
      <c r="BG722" s="13"/>
      <c r="BH722" s="13"/>
    </row>
    <row r="723" ht="14.25" customHeight="1">
      <c r="BG723" s="13"/>
      <c r="BH723" s="13"/>
    </row>
    <row r="724" ht="14.25" customHeight="1">
      <c r="BG724" s="13"/>
      <c r="BH724" s="13"/>
    </row>
    <row r="725" ht="14.25" customHeight="1">
      <c r="BG725" s="13"/>
      <c r="BH725" s="13"/>
    </row>
    <row r="726" ht="14.25" customHeight="1">
      <c r="BG726" s="13"/>
      <c r="BH726" s="13"/>
    </row>
    <row r="727" ht="14.25" customHeight="1">
      <c r="BG727" s="13"/>
      <c r="BH727" s="13"/>
    </row>
    <row r="728" ht="14.25" customHeight="1">
      <c r="BG728" s="13"/>
      <c r="BH728" s="13"/>
    </row>
    <row r="729" ht="14.25" customHeight="1">
      <c r="BG729" s="13"/>
      <c r="BH729" s="13"/>
    </row>
    <row r="730" ht="14.25" customHeight="1">
      <c r="BG730" s="13"/>
      <c r="BH730" s="13"/>
    </row>
    <row r="731" ht="14.25" customHeight="1">
      <c r="BG731" s="13"/>
      <c r="BH731" s="13"/>
    </row>
    <row r="732" ht="14.25" customHeight="1">
      <c r="BG732" s="13"/>
      <c r="BH732" s="13"/>
    </row>
    <row r="733" ht="14.25" customHeight="1">
      <c r="BG733" s="13"/>
      <c r="BH733" s="13"/>
    </row>
    <row r="734" ht="14.25" customHeight="1">
      <c r="BG734" s="13"/>
      <c r="BH734" s="13"/>
    </row>
    <row r="735" ht="14.25" customHeight="1">
      <c r="BG735" s="13"/>
      <c r="BH735" s="13"/>
    </row>
    <row r="736" ht="14.25" customHeight="1">
      <c r="BG736" s="13"/>
      <c r="BH736" s="13"/>
    </row>
    <row r="737" ht="14.25" customHeight="1">
      <c r="BG737" s="13"/>
      <c r="BH737" s="13"/>
    </row>
    <row r="738" ht="14.25" customHeight="1">
      <c r="BG738" s="13"/>
      <c r="BH738" s="13"/>
    </row>
    <row r="739" ht="14.25" customHeight="1">
      <c r="BG739" s="13"/>
      <c r="BH739" s="13"/>
    </row>
    <row r="740" ht="14.25" customHeight="1">
      <c r="BG740" s="13"/>
      <c r="BH740" s="13"/>
    </row>
    <row r="741" ht="14.25" customHeight="1">
      <c r="BG741" s="13"/>
      <c r="BH741" s="13"/>
    </row>
    <row r="742" ht="14.25" customHeight="1">
      <c r="BG742" s="13"/>
      <c r="BH742" s="13"/>
    </row>
    <row r="743" ht="14.25" customHeight="1">
      <c r="BG743" s="13"/>
      <c r="BH743" s="13"/>
    </row>
    <row r="744" ht="14.25" customHeight="1">
      <c r="BG744" s="13"/>
      <c r="BH744" s="13"/>
    </row>
    <row r="745" ht="14.25" customHeight="1">
      <c r="BG745" s="13"/>
      <c r="BH745" s="13"/>
    </row>
    <row r="746" ht="14.25" customHeight="1">
      <c r="BG746" s="13"/>
      <c r="BH746" s="13"/>
    </row>
    <row r="747" ht="14.25" customHeight="1">
      <c r="BG747" s="13"/>
      <c r="BH747" s="13"/>
    </row>
    <row r="748" ht="14.25" customHeight="1">
      <c r="BG748" s="13"/>
      <c r="BH748" s="13"/>
    </row>
    <row r="749" ht="14.25" customHeight="1">
      <c r="BG749" s="13"/>
      <c r="BH749" s="13"/>
    </row>
    <row r="750" ht="14.25" customHeight="1">
      <c r="BG750" s="13"/>
      <c r="BH750" s="13"/>
    </row>
    <row r="751" ht="14.25" customHeight="1">
      <c r="BG751" s="13"/>
      <c r="BH751" s="13"/>
    </row>
    <row r="752" ht="14.25" customHeight="1">
      <c r="BG752" s="13"/>
      <c r="BH752" s="13"/>
    </row>
    <row r="753" ht="14.25" customHeight="1">
      <c r="BG753" s="13"/>
      <c r="BH753" s="13"/>
    </row>
    <row r="754" ht="14.25" customHeight="1">
      <c r="BG754" s="13"/>
      <c r="BH754" s="13"/>
    </row>
    <row r="755" ht="14.25" customHeight="1">
      <c r="BG755" s="13"/>
      <c r="BH755" s="13"/>
    </row>
    <row r="756" ht="14.25" customHeight="1">
      <c r="BG756" s="13"/>
      <c r="BH756" s="13"/>
    </row>
    <row r="757" ht="14.25" customHeight="1">
      <c r="BG757" s="13"/>
      <c r="BH757" s="13"/>
    </row>
    <row r="758" ht="14.25" customHeight="1">
      <c r="BG758" s="13"/>
      <c r="BH758" s="13"/>
    </row>
    <row r="759" ht="14.25" customHeight="1">
      <c r="BG759" s="13"/>
      <c r="BH759" s="13"/>
    </row>
    <row r="760" ht="14.25" customHeight="1">
      <c r="BG760" s="13"/>
      <c r="BH760" s="13"/>
    </row>
    <row r="761" ht="14.25" customHeight="1">
      <c r="BG761" s="13"/>
      <c r="BH761" s="13"/>
    </row>
    <row r="762" ht="14.25" customHeight="1">
      <c r="BG762" s="13"/>
      <c r="BH762" s="13"/>
    </row>
    <row r="763" ht="14.25" customHeight="1">
      <c r="BG763" s="13"/>
      <c r="BH763" s="13"/>
    </row>
    <row r="764" ht="14.25" customHeight="1">
      <c r="BG764" s="13"/>
      <c r="BH764" s="13"/>
    </row>
    <row r="765" ht="14.25" customHeight="1">
      <c r="BG765" s="13"/>
      <c r="BH765" s="13"/>
    </row>
    <row r="766" ht="14.25" customHeight="1">
      <c r="BG766" s="13"/>
      <c r="BH766" s="13"/>
    </row>
    <row r="767" ht="14.25" customHeight="1">
      <c r="BG767" s="13"/>
      <c r="BH767" s="13"/>
    </row>
    <row r="768" ht="14.25" customHeight="1">
      <c r="BG768" s="13"/>
      <c r="BH768" s="13"/>
    </row>
    <row r="769" ht="14.25" customHeight="1">
      <c r="BG769" s="13"/>
      <c r="BH769" s="13"/>
    </row>
    <row r="770" ht="14.25" customHeight="1">
      <c r="BG770" s="13"/>
      <c r="BH770" s="13"/>
    </row>
    <row r="771" ht="14.25" customHeight="1">
      <c r="BG771" s="13"/>
      <c r="BH771" s="13"/>
    </row>
    <row r="772" ht="14.25" customHeight="1">
      <c r="BG772" s="13"/>
      <c r="BH772" s="13"/>
    </row>
    <row r="773" ht="14.25" customHeight="1">
      <c r="BG773" s="13"/>
      <c r="BH773" s="13"/>
    </row>
    <row r="774" ht="14.25" customHeight="1">
      <c r="BG774" s="13"/>
      <c r="BH774" s="13"/>
    </row>
    <row r="775" ht="14.25" customHeight="1">
      <c r="BG775" s="13"/>
      <c r="BH775" s="13"/>
    </row>
    <row r="776" ht="14.25" customHeight="1">
      <c r="BG776" s="13"/>
      <c r="BH776" s="13"/>
    </row>
    <row r="777" ht="14.25" customHeight="1">
      <c r="BG777" s="13"/>
      <c r="BH777" s="13"/>
    </row>
    <row r="778" ht="14.25" customHeight="1">
      <c r="BG778" s="13"/>
      <c r="BH778" s="13"/>
    </row>
    <row r="779" ht="14.25" customHeight="1">
      <c r="BG779" s="13"/>
      <c r="BH779" s="13"/>
    </row>
    <row r="780" ht="14.25" customHeight="1">
      <c r="BG780" s="13"/>
      <c r="BH780" s="13"/>
    </row>
    <row r="781" ht="14.25" customHeight="1">
      <c r="BG781" s="13"/>
      <c r="BH781" s="13"/>
    </row>
    <row r="782" ht="14.25" customHeight="1">
      <c r="BG782" s="13"/>
      <c r="BH782" s="13"/>
    </row>
    <row r="783" ht="14.25" customHeight="1">
      <c r="BG783" s="13"/>
      <c r="BH783" s="13"/>
    </row>
    <row r="784" ht="14.25" customHeight="1">
      <c r="BG784" s="13"/>
      <c r="BH784" s="13"/>
    </row>
    <row r="785" ht="14.25" customHeight="1">
      <c r="BG785" s="13"/>
      <c r="BH785" s="13"/>
    </row>
    <row r="786" ht="14.25" customHeight="1">
      <c r="BG786" s="13"/>
      <c r="BH786" s="13"/>
    </row>
    <row r="787" ht="14.25" customHeight="1">
      <c r="BG787" s="13"/>
      <c r="BH787" s="13"/>
    </row>
    <row r="788" ht="14.25" customHeight="1">
      <c r="BG788" s="13"/>
      <c r="BH788" s="13"/>
    </row>
    <row r="789" ht="14.25" customHeight="1">
      <c r="BG789" s="13"/>
      <c r="BH789" s="13"/>
    </row>
    <row r="790" ht="14.25" customHeight="1">
      <c r="BG790" s="13"/>
      <c r="BH790" s="13"/>
    </row>
    <row r="791" ht="14.25" customHeight="1">
      <c r="BG791" s="13"/>
      <c r="BH791" s="13"/>
    </row>
    <row r="792" ht="14.25" customHeight="1">
      <c r="BG792" s="13"/>
      <c r="BH792" s="13"/>
    </row>
    <row r="793" ht="14.25" customHeight="1">
      <c r="BG793" s="13"/>
      <c r="BH793" s="13"/>
    </row>
    <row r="794" ht="14.25" customHeight="1">
      <c r="BG794" s="13"/>
      <c r="BH794" s="13"/>
    </row>
    <row r="795" ht="14.25" customHeight="1">
      <c r="BG795" s="13"/>
      <c r="BH795" s="13"/>
    </row>
    <row r="796" ht="14.25" customHeight="1">
      <c r="BG796" s="13"/>
      <c r="BH796" s="13"/>
    </row>
    <row r="797" ht="14.25" customHeight="1">
      <c r="BG797" s="13"/>
      <c r="BH797" s="13"/>
    </row>
    <row r="798" ht="14.25" customHeight="1">
      <c r="BG798" s="13"/>
      <c r="BH798" s="13"/>
    </row>
    <row r="799" ht="14.25" customHeight="1">
      <c r="BG799" s="13"/>
      <c r="BH799" s="13"/>
    </row>
    <row r="800" ht="14.25" customHeight="1">
      <c r="BG800" s="13"/>
      <c r="BH800" s="13"/>
    </row>
    <row r="801" ht="14.25" customHeight="1">
      <c r="BG801" s="13"/>
      <c r="BH801" s="13"/>
    </row>
    <row r="802" ht="14.25" customHeight="1">
      <c r="BG802" s="13"/>
      <c r="BH802" s="13"/>
    </row>
    <row r="803" ht="14.25" customHeight="1">
      <c r="BG803" s="13"/>
      <c r="BH803" s="13"/>
    </row>
    <row r="804" ht="14.25" customHeight="1">
      <c r="BG804" s="13"/>
      <c r="BH804" s="13"/>
    </row>
    <row r="805" ht="14.25" customHeight="1">
      <c r="BG805" s="13"/>
      <c r="BH805" s="13"/>
    </row>
    <row r="806" ht="14.25" customHeight="1">
      <c r="BG806" s="13"/>
      <c r="BH806" s="13"/>
    </row>
    <row r="807" ht="14.25" customHeight="1">
      <c r="BG807" s="13"/>
      <c r="BH807" s="13"/>
    </row>
    <row r="808" ht="14.25" customHeight="1">
      <c r="BG808" s="13"/>
      <c r="BH808" s="13"/>
    </row>
    <row r="809" ht="14.25" customHeight="1">
      <c r="BG809" s="13"/>
      <c r="BH809" s="13"/>
    </row>
    <row r="810" ht="14.25" customHeight="1">
      <c r="BG810" s="13"/>
      <c r="BH810" s="13"/>
    </row>
    <row r="811" ht="14.25" customHeight="1">
      <c r="BG811" s="13"/>
      <c r="BH811" s="13"/>
    </row>
    <row r="812" ht="14.25" customHeight="1">
      <c r="BG812" s="13"/>
      <c r="BH812" s="13"/>
    </row>
    <row r="813" ht="14.25" customHeight="1">
      <c r="BG813" s="13"/>
      <c r="BH813" s="13"/>
    </row>
    <row r="814" ht="14.25" customHeight="1">
      <c r="BG814" s="13"/>
      <c r="BH814" s="13"/>
    </row>
    <row r="815" ht="14.25" customHeight="1">
      <c r="BG815" s="13"/>
      <c r="BH815" s="13"/>
    </row>
    <row r="816" ht="14.25" customHeight="1">
      <c r="BG816" s="13"/>
      <c r="BH816" s="13"/>
    </row>
    <row r="817" ht="14.25" customHeight="1">
      <c r="BG817" s="13"/>
      <c r="BH817" s="13"/>
    </row>
    <row r="818" ht="14.25" customHeight="1">
      <c r="BG818" s="13"/>
      <c r="BH818" s="13"/>
    </row>
    <row r="819" ht="14.25" customHeight="1">
      <c r="BG819" s="13"/>
      <c r="BH819" s="13"/>
    </row>
    <row r="820" ht="14.25" customHeight="1">
      <c r="BG820" s="13"/>
      <c r="BH820" s="13"/>
    </row>
    <row r="821" ht="14.25" customHeight="1">
      <c r="BG821" s="13"/>
      <c r="BH821" s="13"/>
    </row>
    <row r="822" ht="14.25" customHeight="1">
      <c r="BG822" s="13"/>
      <c r="BH822" s="13"/>
    </row>
    <row r="823" ht="14.25" customHeight="1">
      <c r="BG823" s="13"/>
      <c r="BH823" s="13"/>
    </row>
    <row r="824" ht="14.25" customHeight="1">
      <c r="BG824" s="13"/>
      <c r="BH824" s="13"/>
    </row>
    <row r="825" ht="14.25" customHeight="1">
      <c r="BG825" s="13"/>
      <c r="BH825" s="13"/>
    </row>
    <row r="826" ht="14.25" customHeight="1">
      <c r="BG826" s="13"/>
      <c r="BH826" s="13"/>
    </row>
    <row r="827" ht="14.25" customHeight="1">
      <c r="BG827" s="13"/>
      <c r="BH827" s="13"/>
    </row>
    <row r="828" ht="14.25" customHeight="1">
      <c r="BG828" s="13"/>
      <c r="BH828" s="13"/>
    </row>
    <row r="829" ht="14.25" customHeight="1">
      <c r="BG829" s="13"/>
      <c r="BH829" s="13"/>
    </row>
    <row r="830" ht="14.25" customHeight="1">
      <c r="BG830" s="13"/>
      <c r="BH830" s="13"/>
    </row>
    <row r="831" ht="14.25" customHeight="1">
      <c r="BG831" s="13"/>
      <c r="BH831" s="13"/>
    </row>
    <row r="832" ht="14.25" customHeight="1">
      <c r="BG832" s="13"/>
      <c r="BH832" s="13"/>
    </row>
    <row r="833" ht="14.25" customHeight="1">
      <c r="BG833" s="13"/>
      <c r="BH833" s="13"/>
    </row>
    <row r="834" ht="14.25" customHeight="1">
      <c r="BG834" s="13"/>
      <c r="BH834" s="13"/>
    </row>
    <row r="835" ht="14.25" customHeight="1">
      <c r="BG835" s="13"/>
      <c r="BH835" s="13"/>
    </row>
    <row r="836" ht="14.25" customHeight="1">
      <c r="BG836" s="13"/>
      <c r="BH836" s="13"/>
    </row>
    <row r="837" ht="14.25" customHeight="1">
      <c r="BG837" s="13"/>
      <c r="BH837" s="13"/>
    </row>
    <row r="838" ht="14.25" customHeight="1">
      <c r="BG838" s="13"/>
      <c r="BH838" s="13"/>
    </row>
    <row r="839" ht="14.25" customHeight="1">
      <c r="BG839" s="13"/>
      <c r="BH839" s="13"/>
    </row>
    <row r="840" ht="14.25" customHeight="1">
      <c r="BG840" s="13"/>
      <c r="BH840" s="13"/>
    </row>
    <row r="841" ht="14.25" customHeight="1">
      <c r="BG841" s="13"/>
      <c r="BH841" s="13"/>
    </row>
    <row r="842" ht="14.25" customHeight="1">
      <c r="BG842" s="13"/>
      <c r="BH842" s="13"/>
    </row>
    <row r="843" ht="14.25" customHeight="1">
      <c r="BG843" s="13"/>
      <c r="BH843" s="13"/>
    </row>
    <row r="844" ht="14.25" customHeight="1">
      <c r="BG844" s="13"/>
      <c r="BH844" s="13"/>
    </row>
    <row r="845" ht="14.25" customHeight="1">
      <c r="BG845" s="13"/>
      <c r="BH845" s="13"/>
    </row>
    <row r="846" ht="14.25" customHeight="1">
      <c r="BG846" s="13"/>
      <c r="BH846" s="13"/>
    </row>
    <row r="847" ht="14.25" customHeight="1">
      <c r="BG847" s="13"/>
      <c r="BH847" s="13"/>
    </row>
    <row r="848" ht="14.25" customHeight="1">
      <c r="BG848" s="13"/>
      <c r="BH848" s="13"/>
    </row>
    <row r="849" ht="14.25" customHeight="1">
      <c r="BG849" s="13"/>
      <c r="BH849" s="13"/>
    </row>
    <row r="850" ht="14.25" customHeight="1">
      <c r="BG850" s="13"/>
      <c r="BH850" s="13"/>
    </row>
    <row r="851" ht="14.25" customHeight="1">
      <c r="BG851" s="13"/>
      <c r="BH851" s="13"/>
    </row>
    <row r="852" ht="14.25" customHeight="1">
      <c r="BG852" s="13"/>
      <c r="BH852" s="13"/>
    </row>
    <row r="853" ht="14.25" customHeight="1">
      <c r="BG853" s="13"/>
      <c r="BH853" s="13"/>
    </row>
    <row r="854" ht="14.25" customHeight="1">
      <c r="BG854" s="13"/>
      <c r="BH854" s="13"/>
    </row>
    <row r="855" ht="14.25" customHeight="1">
      <c r="BG855" s="13"/>
      <c r="BH855" s="13"/>
    </row>
    <row r="856" ht="14.25" customHeight="1">
      <c r="BG856" s="13"/>
      <c r="BH856" s="13"/>
    </row>
    <row r="857" ht="14.25" customHeight="1">
      <c r="BG857" s="13"/>
      <c r="BH857" s="13"/>
    </row>
    <row r="858" ht="14.25" customHeight="1">
      <c r="BG858" s="13"/>
      <c r="BH858" s="13"/>
    </row>
    <row r="859" ht="14.25" customHeight="1">
      <c r="BG859" s="13"/>
      <c r="BH859" s="13"/>
    </row>
    <row r="860" ht="14.25" customHeight="1">
      <c r="BG860" s="13"/>
      <c r="BH860" s="13"/>
    </row>
    <row r="861" ht="14.25" customHeight="1">
      <c r="BG861" s="13"/>
      <c r="BH861" s="13"/>
    </row>
    <row r="862" ht="14.25" customHeight="1">
      <c r="BG862" s="13"/>
      <c r="BH862" s="13"/>
    </row>
    <row r="863" ht="14.25" customHeight="1">
      <c r="BG863" s="13"/>
      <c r="BH863" s="13"/>
    </row>
    <row r="864" ht="14.25" customHeight="1">
      <c r="BG864" s="13"/>
      <c r="BH864" s="13"/>
    </row>
    <row r="865" ht="14.25" customHeight="1">
      <c r="BG865" s="13"/>
      <c r="BH865" s="13"/>
    </row>
    <row r="866" ht="14.25" customHeight="1">
      <c r="BG866" s="13"/>
      <c r="BH866" s="13"/>
    </row>
    <row r="867" ht="14.25" customHeight="1">
      <c r="BG867" s="13"/>
      <c r="BH867" s="13"/>
    </row>
    <row r="868" ht="14.25" customHeight="1">
      <c r="BG868" s="13"/>
      <c r="BH868" s="13"/>
    </row>
    <row r="869" ht="14.25" customHeight="1">
      <c r="BG869" s="13"/>
      <c r="BH869" s="13"/>
    </row>
    <row r="870" ht="14.25" customHeight="1">
      <c r="BG870" s="13"/>
      <c r="BH870" s="13"/>
    </row>
    <row r="871" ht="14.25" customHeight="1">
      <c r="BG871" s="13"/>
      <c r="BH871" s="13"/>
    </row>
    <row r="872" ht="14.25" customHeight="1">
      <c r="BG872" s="13"/>
      <c r="BH872" s="13"/>
    </row>
    <row r="873" ht="14.25" customHeight="1">
      <c r="BG873" s="13"/>
      <c r="BH873" s="13"/>
    </row>
    <row r="874" ht="14.25" customHeight="1">
      <c r="BG874" s="13"/>
      <c r="BH874" s="13"/>
    </row>
    <row r="875" ht="14.25" customHeight="1">
      <c r="BG875" s="13"/>
      <c r="BH875" s="13"/>
    </row>
    <row r="876" ht="14.25" customHeight="1">
      <c r="BG876" s="13"/>
      <c r="BH876" s="13"/>
    </row>
    <row r="877" ht="14.25" customHeight="1">
      <c r="BG877" s="13"/>
      <c r="BH877" s="13"/>
    </row>
    <row r="878" ht="14.25" customHeight="1">
      <c r="BG878" s="13"/>
      <c r="BH878" s="13"/>
    </row>
    <row r="879" ht="14.25" customHeight="1">
      <c r="BG879" s="13"/>
      <c r="BH879" s="13"/>
    </row>
    <row r="880" ht="14.25" customHeight="1">
      <c r="BG880" s="13"/>
      <c r="BH880" s="13"/>
    </row>
    <row r="881" ht="14.25" customHeight="1">
      <c r="BG881" s="13"/>
      <c r="BH881" s="13"/>
    </row>
    <row r="882" ht="14.25" customHeight="1">
      <c r="BG882" s="13"/>
      <c r="BH882" s="13"/>
    </row>
    <row r="883" ht="14.25" customHeight="1">
      <c r="BG883" s="13"/>
      <c r="BH883" s="13"/>
    </row>
    <row r="884" ht="14.25" customHeight="1">
      <c r="BG884" s="13"/>
      <c r="BH884" s="13"/>
    </row>
    <row r="885" ht="14.25" customHeight="1">
      <c r="BG885" s="13"/>
      <c r="BH885" s="13"/>
    </row>
    <row r="886" ht="14.25" customHeight="1">
      <c r="BG886" s="13"/>
      <c r="BH886" s="13"/>
    </row>
    <row r="887" ht="14.25" customHeight="1">
      <c r="BG887" s="13"/>
      <c r="BH887" s="13"/>
    </row>
    <row r="888" ht="14.25" customHeight="1">
      <c r="BG888" s="13"/>
      <c r="BH888" s="13"/>
    </row>
    <row r="889" ht="14.25" customHeight="1">
      <c r="BG889" s="13"/>
      <c r="BH889" s="13"/>
    </row>
    <row r="890" ht="14.25" customHeight="1">
      <c r="BG890" s="13"/>
      <c r="BH890" s="13"/>
    </row>
    <row r="891" ht="14.25" customHeight="1">
      <c r="BG891" s="13"/>
      <c r="BH891" s="13"/>
    </row>
    <row r="892" ht="14.25" customHeight="1">
      <c r="BG892" s="13"/>
      <c r="BH892" s="13"/>
    </row>
    <row r="893" ht="14.25" customHeight="1">
      <c r="BG893" s="13"/>
      <c r="BH893" s="13"/>
    </row>
    <row r="894" ht="14.25" customHeight="1">
      <c r="BG894" s="13"/>
      <c r="BH894" s="13"/>
    </row>
    <row r="895" ht="14.25" customHeight="1">
      <c r="BG895" s="13"/>
      <c r="BH895" s="13"/>
    </row>
    <row r="896" ht="14.25" customHeight="1">
      <c r="BG896" s="13"/>
      <c r="BH896" s="13"/>
    </row>
    <row r="897" ht="14.25" customHeight="1">
      <c r="BG897" s="13"/>
      <c r="BH897" s="13"/>
    </row>
    <row r="898" ht="14.25" customHeight="1">
      <c r="BG898" s="13"/>
      <c r="BH898" s="13"/>
    </row>
    <row r="899" ht="14.25" customHeight="1">
      <c r="BG899" s="13"/>
      <c r="BH899" s="13"/>
    </row>
    <row r="900" ht="14.25" customHeight="1">
      <c r="BG900" s="13"/>
      <c r="BH900" s="13"/>
    </row>
    <row r="901" ht="14.25" customHeight="1">
      <c r="BG901" s="13"/>
      <c r="BH901" s="13"/>
    </row>
    <row r="902" ht="14.25" customHeight="1">
      <c r="BG902" s="13"/>
      <c r="BH902" s="13"/>
    </row>
    <row r="903" ht="14.25" customHeight="1">
      <c r="BG903" s="13"/>
      <c r="BH903" s="13"/>
    </row>
    <row r="904" ht="14.25" customHeight="1">
      <c r="BG904" s="13"/>
      <c r="BH904" s="13"/>
    </row>
    <row r="905" ht="14.25" customHeight="1">
      <c r="BG905" s="13"/>
      <c r="BH905" s="13"/>
    </row>
    <row r="906" ht="14.25" customHeight="1">
      <c r="BG906" s="13"/>
      <c r="BH906" s="13"/>
    </row>
    <row r="907" ht="14.25" customHeight="1">
      <c r="BG907" s="13"/>
      <c r="BH907" s="13"/>
    </row>
    <row r="908" ht="14.25" customHeight="1">
      <c r="BG908" s="13"/>
      <c r="BH908" s="13"/>
    </row>
    <row r="909" ht="14.25" customHeight="1">
      <c r="BG909" s="13"/>
      <c r="BH909" s="13"/>
    </row>
    <row r="910" ht="14.25" customHeight="1">
      <c r="BG910" s="13"/>
      <c r="BH910" s="13"/>
    </row>
    <row r="911" ht="14.25" customHeight="1">
      <c r="BG911" s="13"/>
      <c r="BH911" s="13"/>
    </row>
    <row r="912" ht="14.25" customHeight="1">
      <c r="BG912" s="13"/>
      <c r="BH912" s="13"/>
    </row>
    <row r="913" ht="14.25" customHeight="1">
      <c r="BG913" s="13"/>
      <c r="BH913" s="13"/>
    </row>
    <row r="914" ht="14.25" customHeight="1">
      <c r="BG914" s="13"/>
      <c r="BH914" s="13"/>
    </row>
    <row r="915" ht="14.25" customHeight="1">
      <c r="BG915" s="13"/>
      <c r="BH915" s="13"/>
    </row>
    <row r="916" ht="14.25" customHeight="1">
      <c r="BG916" s="13"/>
      <c r="BH916" s="13"/>
    </row>
    <row r="917" ht="14.25" customHeight="1">
      <c r="BG917" s="13"/>
      <c r="BH917" s="13"/>
    </row>
    <row r="918" ht="14.25" customHeight="1">
      <c r="BG918" s="13"/>
      <c r="BH918" s="13"/>
    </row>
    <row r="919" ht="14.25" customHeight="1">
      <c r="BG919" s="13"/>
      <c r="BH919" s="13"/>
    </row>
    <row r="920" ht="14.25" customHeight="1">
      <c r="BG920" s="13"/>
      <c r="BH920" s="13"/>
    </row>
    <row r="921" ht="14.25" customHeight="1">
      <c r="BG921" s="13"/>
      <c r="BH921" s="13"/>
    </row>
    <row r="922" ht="14.25" customHeight="1">
      <c r="BG922" s="13"/>
      <c r="BH922" s="13"/>
    </row>
    <row r="923" ht="14.25" customHeight="1">
      <c r="BG923" s="13"/>
      <c r="BH923" s="13"/>
    </row>
    <row r="924" ht="14.25" customHeight="1">
      <c r="BG924" s="13"/>
      <c r="BH924" s="13"/>
    </row>
    <row r="925" ht="14.25" customHeight="1">
      <c r="BG925" s="13"/>
      <c r="BH925" s="13"/>
    </row>
    <row r="926" ht="14.25" customHeight="1">
      <c r="BG926" s="13"/>
      <c r="BH926" s="13"/>
    </row>
    <row r="927" ht="14.25" customHeight="1">
      <c r="BG927" s="13"/>
      <c r="BH927" s="13"/>
    </row>
    <row r="928" ht="14.25" customHeight="1">
      <c r="BG928" s="13"/>
      <c r="BH928" s="13"/>
    </row>
    <row r="929" ht="14.25" customHeight="1">
      <c r="BG929" s="13"/>
      <c r="BH929" s="13"/>
    </row>
    <row r="930" ht="14.25" customHeight="1">
      <c r="BG930" s="13"/>
      <c r="BH930" s="13"/>
    </row>
    <row r="931" ht="14.25" customHeight="1">
      <c r="BG931" s="13"/>
      <c r="BH931" s="13"/>
    </row>
    <row r="932" ht="14.25" customHeight="1">
      <c r="BG932" s="13"/>
      <c r="BH932" s="13"/>
    </row>
    <row r="933" ht="14.25" customHeight="1">
      <c r="BG933" s="13"/>
      <c r="BH933" s="13"/>
    </row>
    <row r="934" ht="14.25" customHeight="1">
      <c r="BG934" s="13"/>
      <c r="BH934" s="13"/>
    </row>
    <row r="935" ht="14.25" customHeight="1">
      <c r="BG935" s="13"/>
      <c r="BH935" s="13"/>
    </row>
    <row r="936" ht="14.25" customHeight="1">
      <c r="BG936" s="13"/>
      <c r="BH936" s="13"/>
    </row>
    <row r="937" ht="14.25" customHeight="1">
      <c r="BG937" s="13"/>
      <c r="BH937" s="13"/>
    </row>
    <row r="938" ht="14.25" customHeight="1">
      <c r="BG938" s="13"/>
      <c r="BH938" s="13"/>
    </row>
    <row r="939" ht="14.25" customHeight="1">
      <c r="BG939" s="13"/>
      <c r="BH939" s="13"/>
    </row>
    <row r="940" ht="14.25" customHeight="1">
      <c r="BG940" s="13"/>
      <c r="BH940" s="13"/>
    </row>
    <row r="941" ht="14.25" customHeight="1">
      <c r="BG941" s="13"/>
      <c r="BH941" s="13"/>
    </row>
    <row r="942" ht="14.25" customHeight="1">
      <c r="BG942" s="13"/>
      <c r="BH942" s="13"/>
    </row>
    <row r="943" ht="14.25" customHeight="1">
      <c r="BG943" s="13"/>
      <c r="BH943" s="13"/>
    </row>
    <row r="944" ht="14.25" customHeight="1">
      <c r="BG944" s="13"/>
      <c r="BH944" s="13"/>
    </row>
    <row r="945" ht="14.25" customHeight="1">
      <c r="BG945" s="13"/>
      <c r="BH945" s="13"/>
    </row>
    <row r="946" ht="14.25" customHeight="1">
      <c r="BG946" s="13"/>
      <c r="BH946" s="13"/>
    </row>
    <row r="947" ht="14.25" customHeight="1">
      <c r="BG947" s="13"/>
      <c r="BH947" s="13"/>
    </row>
    <row r="948" ht="14.25" customHeight="1">
      <c r="BG948" s="13"/>
      <c r="BH948" s="13"/>
    </row>
    <row r="949" ht="14.25" customHeight="1">
      <c r="BG949" s="13"/>
      <c r="BH949" s="13"/>
    </row>
    <row r="950" ht="14.25" customHeight="1">
      <c r="BG950" s="13"/>
      <c r="BH950" s="13"/>
    </row>
    <row r="951" ht="14.25" customHeight="1">
      <c r="BG951" s="13"/>
      <c r="BH951" s="13"/>
    </row>
    <row r="952" ht="14.25" customHeight="1">
      <c r="BG952" s="13"/>
      <c r="BH952" s="13"/>
    </row>
    <row r="953" ht="14.25" customHeight="1">
      <c r="BG953" s="13"/>
      <c r="BH953" s="13"/>
    </row>
    <row r="954" ht="14.25" customHeight="1">
      <c r="BG954" s="13"/>
      <c r="BH954" s="13"/>
    </row>
    <row r="955" ht="14.25" customHeight="1">
      <c r="BG955" s="13"/>
      <c r="BH955" s="13"/>
    </row>
    <row r="956" ht="14.25" customHeight="1">
      <c r="BG956" s="13"/>
      <c r="BH956" s="13"/>
    </row>
    <row r="957" ht="14.25" customHeight="1">
      <c r="BG957" s="13"/>
      <c r="BH957" s="13"/>
    </row>
    <row r="958" ht="14.25" customHeight="1">
      <c r="BG958" s="13"/>
      <c r="BH958" s="13"/>
    </row>
    <row r="959" ht="14.25" customHeight="1">
      <c r="BG959" s="13"/>
      <c r="BH959" s="13"/>
    </row>
    <row r="960" ht="14.25" customHeight="1">
      <c r="BG960" s="13"/>
      <c r="BH960" s="13"/>
    </row>
    <row r="961" ht="14.25" customHeight="1">
      <c r="BG961" s="13"/>
      <c r="BH961" s="13"/>
    </row>
    <row r="962" ht="14.25" customHeight="1">
      <c r="BG962" s="13"/>
      <c r="BH962" s="13"/>
    </row>
    <row r="963" ht="14.25" customHeight="1">
      <c r="BG963" s="13"/>
      <c r="BH963" s="13"/>
    </row>
    <row r="964" ht="14.25" customHeight="1">
      <c r="BG964" s="13"/>
      <c r="BH964" s="13"/>
    </row>
    <row r="965" ht="14.25" customHeight="1">
      <c r="BG965" s="13"/>
      <c r="BH965" s="13"/>
    </row>
    <row r="966" ht="14.25" customHeight="1">
      <c r="BG966" s="13"/>
      <c r="BH966" s="13"/>
    </row>
    <row r="967" ht="14.25" customHeight="1">
      <c r="BG967" s="13"/>
      <c r="BH967" s="13"/>
    </row>
    <row r="968" ht="14.25" customHeight="1">
      <c r="BG968" s="13"/>
      <c r="BH968" s="13"/>
    </row>
    <row r="969" ht="14.25" customHeight="1">
      <c r="BG969" s="13"/>
      <c r="BH969" s="13"/>
    </row>
    <row r="970" ht="14.25" customHeight="1">
      <c r="BG970" s="13"/>
      <c r="BH970" s="13"/>
    </row>
    <row r="971" ht="14.25" customHeight="1">
      <c r="BG971" s="13"/>
      <c r="BH971" s="13"/>
    </row>
    <row r="972" ht="14.25" customHeight="1">
      <c r="BG972" s="13"/>
      <c r="BH972" s="13"/>
    </row>
    <row r="973" ht="14.25" customHeight="1">
      <c r="BG973" s="13"/>
      <c r="BH973" s="13"/>
    </row>
    <row r="974" ht="14.25" customHeight="1">
      <c r="BG974" s="13"/>
      <c r="BH974" s="13"/>
    </row>
    <row r="975" ht="14.25" customHeight="1">
      <c r="BG975" s="13"/>
      <c r="BH975" s="13"/>
    </row>
    <row r="976" ht="14.25" customHeight="1">
      <c r="BG976" s="13"/>
      <c r="BH976" s="13"/>
    </row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</hyperlinks>
  <printOptions/>
  <pageMargins bottom="0.75" footer="0.0" header="0.0" left="0.7" right="0.7" top="0.75"/>
  <pageSetup orientation="landscape"/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3" width="12.88"/>
    <col customWidth="1" min="4" max="4" width="12.0"/>
    <col customWidth="1" min="5" max="5" width="13.5"/>
    <col customWidth="1" min="6" max="6" width="14.5"/>
    <col customWidth="1" min="7" max="9" width="14.25"/>
    <col customWidth="1" min="10" max="10" width="17.0"/>
    <col customWidth="1" min="11" max="11" width="23.88"/>
    <col customWidth="1" min="12" max="12" width="17.38"/>
    <col customWidth="1" min="13" max="13" width="19.38"/>
    <col customWidth="1" min="14" max="15" width="17.0"/>
    <col customWidth="1" min="16" max="16" width="20.75"/>
    <col customWidth="1" min="17" max="17" width="13.5"/>
    <col customWidth="1" min="18" max="19" width="13.13"/>
    <col customWidth="1" min="20" max="20" width="17.0"/>
    <col customWidth="1" min="21" max="21" width="14.38"/>
    <col customWidth="1" min="22" max="27" width="8.63"/>
    <col customWidth="1" min="28" max="28" width="15.38"/>
    <col customWidth="1" min="29" max="30" width="8.63"/>
    <col customWidth="1" min="31" max="31" width="10.0"/>
    <col customWidth="1" min="32" max="32" width="13.25"/>
    <col customWidth="1" min="33" max="34" width="10.38"/>
    <col customWidth="1" min="35" max="35" width="17.38"/>
    <col customWidth="1" min="36" max="36" width="15.25"/>
    <col customWidth="1" min="37" max="37" width="13.13"/>
    <col customWidth="1" min="38" max="39" width="10.38"/>
    <col customWidth="1" min="40" max="40" width="11.38"/>
    <col customWidth="1" min="41" max="41" width="10.13"/>
    <col customWidth="1" min="42" max="42" width="9.13"/>
    <col customWidth="1" min="43" max="43" width="14.38"/>
    <col customWidth="1" min="44" max="48" width="14.25"/>
    <col customWidth="1" min="49" max="49" width="9.13"/>
    <col customWidth="1" min="50" max="50" width="9.75"/>
    <col customWidth="1" min="51" max="60" width="14.63"/>
    <col customWidth="1" min="61" max="61" width="89.63"/>
    <col customWidth="1" min="62" max="62" width="10.0"/>
    <col customWidth="1" min="63" max="63" width="10.13"/>
    <col customWidth="1" min="64" max="65" width="8.63"/>
    <col customWidth="1" min="66" max="68" width="11.0"/>
    <col customWidth="1" min="69" max="69" width="11.88"/>
    <col customWidth="1" min="70" max="71" width="10.63"/>
    <col customWidth="1" min="72" max="72" width="12.75"/>
    <col customWidth="1" min="73" max="73" width="11.38"/>
    <col customWidth="1" min="74" max="74" width="14.88"/>
    <col customWidth="1" min="75" max="75" width="15.0"/>
    <col customWidth="1" min="76" max="76" width="15.25"/>
    <col customWidth="1" min="77" max="77" width="18.25"/>
    <col customWidth="1" min="78" max="78" width="10.88"/>
    <col customWidth="1" min="79" max="85" width="10.0"/>
    <col customWidth="1" min="86" max="87" width="10.63"/>
    <col customWidth="1" min="88" max="88" width="10.88"/>
  </cols>
  <sheetData>
    <row r="1" ht="54.0" customHeight="1">
      <c r="A1" s="1" t="s">
        <v>0</v>
      </c>
      <c r="B1" s="35" t="s">
        <v>83</v>
      </c>
      <c r="C1" s="35" t="s">
        <v>84</v>
      </c>
      <c r="D1" s="35" t="s">
        <v>85</v>
      </c>
      <c r="E1" s="35" t="s">
        <v>86</v>
      </c>
      <c r="F1" s="35" t="s">
        <v>87</v>
      </c>
      <c r="G1" s="2" t="s">
        <v>1</v>
      </c>
      <c r="H1" s="2" t="s">
        <v>2</v>
      </c>
      <c r="I1" s="3" t="s">
        <v>3</v>
      </c>
      <c r="J1" s="4" t="s">
        <v>4</v>
      </c>
      <c r="K1" s="4" t="s">
        <v>88</v>
      </c>
      <c r="L1" s="2" t="s">
        <v>5</v>
      </c>
      <c r="M1" s="2" t="s">
        <v>6</v>
      </c>
      <c r="N1" s="2" t="s">
        <v>7</v>
      </c>
      <c r="O1" s="2" t="s">
        <v>8</v>
      </c>
      <c r="P1" s="4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4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2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2" t="s">
        <v>23</v>
      </c>
      <c r="AH1" s="4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2" t="s">
        <v>31</v>
      </c>
      <c r="BC1" s="4" t="s">
        <v>101</v>
      </c>
      <c r="BD1" s="4" t="s">
        <v>102</v>
      </c>
      <c r="BE1" s="4" t="s">
        <v>103</v>
      </c>
      <c r="BF1" s="36" t="s">
        <v>104</v>
      </c>
      <c r="BG1" s="37" t="s">
        <v>30</v>
      </c>
      <c r="BH1" s="37" t="s">
        <v>31</v>
      </c>
      <c r="BI1" s="5" t="s">
        <v>3</v>
      </c>
      <c r="BJ1" s="6" t="s">
        <v>32</v>
      </c>
      <c r="BK1" s="7" t="s">
        <v>33</v>
      </c>
      <c r="BL1" s="8" t="s">
        <v>34</v>
      </c>
      <c r="BM1" s="9" t="s">
        <v>35</v>
      </c>
      <c r="BN1" s="9" t="s">
        <v>36</v>
      </c>
      <c r="BO1" s="9" t="s">
        <v>37</v>
      </c>
      <c r="BP1" s="9" t="s">
        <v>38</v>
      </c>
      <c r="BQ1" s="9" t="s">
        <v>39</v>
      </c>
      <c r="BR1" s="9" t="s">
        <v>40</v>
      </c>
      <c r="BS1" s="9" t="s">
        <v>41</v>
      </c>
      <c r="BT1" s="9" t="s">
        <v>42</v>
      </c>
      <c r="BU1" s="9" t="s">
        <v>43</v>
      </c>
      <c r="BV1" s="10" t="s">
        <v>44</v>
      </c>
      <c r="BW1" s="10" t="s">
        <v>45</v>
      </c>
      <c r="BX1" s="10" t="s">
        <v>46</v>
      </c>
      <c r="BY1" s="10" t="s">
        <v>47</v>
      </c>
      <c r="BZ1" s="10" t="s">
        <v>49</v>
      </c>
      <c r="CA1" s="10" t="s">
        <v>50</v>
      </c>
      <c r="CB1" s="10" t="s">
        <v>51</v>
      </c>
      <c r="CC1" s="10" t="s">
        <v>52</v>
      </c>
      <c r="CD1" s="10" t="s">
        <v>53</v>
      </c>
      <c r="CE1" s="10" t="s">
        <v>54</v>
      </c>
      <c r="CF1" s="10" t="s">
        <v>55</v>
      </c>
      <c r="CG1" s="10" t="s">
        <v>56</v>
      </c>
      <c r="CH1" s="10"/>
      <c r="CI1" s="10" t="s">
        <v>57</v>
      </c>
      <c r="CJ1" s="10" t="s">
        <v>58</v>
      </c>
    </row>
    <row r="2" ht="14.25" customHeight="1">
      <c r="A2" s="11" t="s">
        <v>139</v>
      </c>
      <c r="B2" s="43"/>
      <c r="C2" s="13"/>
      <c r="D2" s="13"/>
      <c r="E2" s="40"/>
      <c r="F2" s="13"/>
      <c r="G2" s="12"/>
      <c r="H2" s="13"/>
      <c r="I2" s="14" t="s">
        <v>140</v>
      </c>
      <c r="J2" s="42" t="s">
        <v>114</v>
      </c>
      <c r="K2" s="13" t="s">
        <v>115</v>
      </c>
      <c r="L2" s="11" t="s">
        <v>139</v>
      </c>
      <c r="M2" s="13" t="s">
        <v>62</v>
      </c>
      <c r="N2" s="13" t="s">
        <v>63</v>
      </c>
      <c r="O2" s="15">
        <v>8000.0</v>
      </c>
      <c r="P2" s="5" t="s">
        <v>116</v>
      </c>
      <c r="Q2" s="43" t="s">
        <v>117</v>
      </c>
      <c r="R2" s="44" t="s">
        <v>69</v>
      </c>
      <c r="S2" s="44" t="s">
        <v>69</v>
      </c>
      <c r="T2" s="16" t="s">
        <v>66</v>
      </c>
      <c r="U2" s="17">
        <v>2.01</v>
      </c>
      <c r="V2" s="18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9">
        <v>83.07</v>
      </c>
      <c r="AB2" s="21">
        <v>25.0</v>
      </c>
      <c r="AC2" s="19">
        <v>2.5</v>
      </c>
      <c r="AD2" s="19">
        <v>6.0</v>
      </c>
      <c r="AE2" s="19">
        <v>7.8</v>
      </c>
      <c r="AF2" s="22">
        <v>0.0</v>
      </c>
      <c r="AG2" s="23" t="s">
        <v>69</v>
      </c>
      <c r="AH2" s="45" t="s">
        <v>69</v>
      </c>
      <c r="AI2" s="46" t="s">
        <v>69</v>
      </c>
      <c r="AJ2" s="45" t="s">
        <v>69</v>
      </c>
      <c r="AK2" s="45" t="s">
        <v>69</v>
      </c>
      <c r="AL2" s="45" t="s">
        <v>69</v>
      </c>
      <c r="AM2" s="45" t="s">
        <v>69</v>
      </c>
      <c r="AN2" s="45" t="s">
        <v>69</v>
      </c>
      <c r="AO2" s="45" t="s">
        <v>69</v>
      </c>
      <c r="AP2" s="23" t="s">
        <v>69</v>
      </c>
      <c r="AQ2" s="23" t="s">
        <v>69</v>
      </c>
      <c r="AR2" s="23" t="s">
        <v>69</v>
      </c>
      <c r="AS2" s="23" t="s">
        <v>69</v>
      </c>
      <c r="AT2" s="23" t="s">
        <v>69</v>
      </c>
      <c r="AU2" s="23" t="s">
        <v>69</v>
      </c>
      <c r="AV2" s="23" t="s">
        <v>69</v>
      </c>
      <c r="AW2" s="23" t="s">
        <v>69</v>
      </c>
      <c r="AX2" s="23" t="s">
        <v>69</v>
      </c>
      <c r="AY2" s="23" t="s">
        <v>69</v>
      </c>
      <c r="AZ2" s="23" t="s">
        <v>69</v>
      </c>
      <c r="BA2" s="23" t="s">
        <v>69</v>
      </c>
      <c r="BB2" s="23" t="s">
        <v>69</v>
      </c>
      <c r="BC2" s="47">
        <v>0.0</v>
      </c>
      <c r="BD2" s="48" t="s">
        <v>141</v>
      </c>
      <c r="BE2" s="49">
        <v>1.0</v>
      </c>
      <c r="BF2" s="50">
        <v>30.0</v>
      </c>
      <c r="BG2" s="51" t="s">
        <v>72</v>
      </c>
      <c r="BH2" s="52">
        <v>0.0</v>
      </c>
      <c r="BI2" s="14" t="s">
        <v>142</v>
      </c>
      <c r="BJ2" s="28">
        <v>0.0</v>
      </c>
      <c r="BK2" s="29">
        <v>38.0</v>
      </c>
      <c r="BL2" s="30">
        <v>-322823.0</v>
      </c>
      <c r="BM2" s="31">
        <v>166778.0</v>
      </c>
      <c r="BN2" s="13">
        <v>0.0</v>
      </c>
      <c r="BO2" s="31">
        <v>166778.0</v>
      </c>
      <c r="BP2" s="13">
        <v>0.0</v>
      </c>
      <c r="BQ2" s="13">
        <v>0.0</v>
      </c>
      <c r="BR2" s="13">
        <v>0.0</v>
      </c>
      <c r="BS2" s="13">
        <v>0.0</v>
      </c>
      <c r="BT2" s="13">
        <v>0.0</v>
      </c>
      <c r="BU2" s="31">
        <v>0.0</v>
      </c>
      <c r="BV2" s="13">
        <v>44197.0</v>
      </c>
      <c r="BW2" s="13">
        <v>166778.0</v>
      </c>
      <c r="BX2" s="13">
        <v>122581.0</v>
      </c>
      <c r="BY2" s="32">
        <v>0.0</v>
      </c>
      <c r="BZ2" s="34">
        <v>8394.0</v>
      </c>
      <c r="CA2" s="34">
        <v>29719.0</v>
      </c>
      <c r="CB2" s="34">
        <v>21326.0</v>
      </c>
      <c r="CC2" s="5">
        <v>334284.0</v>
      </c>
      <c r="CD2" s="34">
        <v>1183586.0</v>
      </c>
      <c r="CE2" s="34">
        <v>849302.0</v>
      </c>
      <c r="CF2" s="5">
        <v>860764.0</v>
      </c>
      <c r="CG2" s="34">
        <v>1183586.0</v>
      </c>
      <c r="CH2" s="34">
        <f t="shared" ref="CH2:CH7" si="1">-1*CI2</f>
        <v>322822</v>
      </c>
      <c r="CI2" s="34">
        <f t="shared" ref="CI2:CI7" si="2">CF2-CG2</f>
        <v>-322822</v>
      </c>
      <c r="CJ2" s="13"/>
    </row>
    <row r="3" ht="14.25" customHeight="1">
      <c r="A3" s="11" t="s">
        <v>143</v>
      </c>
      <c r="B3" s="43"/>
      <c r="C3" s="13"/>
      <c r="D3" s="13"/>
      <c r="E3" s="40"/>
      <c r="F3" s="13"/>
      <c r="G3" s="13"/>
      <c r="H3" s="12"/>
      <c r="I3" s="14" t="s">
        <v>144</v>
      </c>
      <c r="J3" s="42" t="s">
        <v>114</v>
      </c>
      <c r="K3" s="13" t="s">
        <v>115</v>
      </c>
      <c r="L3" s="11" t="s">
        <v>143</v>
      </c>
      <c r="M3" s="13" t="s">
        <v>62</v>
      </c>
      <c r="N3" s="13" t="s">
        <v>63</v>
      </c>
      <c r="O3" s="15">
        <v>8000.0</v>
      </c>
      <c r="P3" s="5" t="s">
        <v>116</v>
      </c>
      <c r="Q3" s="43" t="s">
        <v>117</v>
      </c>
      <c r="R3" s="44" t="s">
        <v>69</v>
      </c>
      <c r="S3" s="44" t="s">
        <v>69</v>
      </c>
      <c r="T3" s="16" t="s">
        <v>66</v>
      </c>
      <c r="U3" s="17">
        <v>2.01</v>
      </c>
      <c r="V3" s="18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9">
        <v>83.07</v>
      </c>
      <c r="AB3" s="21">
        <v>10.0</v>
      </c>
      <c r="AC3" s="19">
        <v>2.5</v>
      </c>
      <c r="AD3" s="19">
        <v>6.0</v>
      </c>
      <c r="AE3" s="19">
        <v>7.8</v>
      </c>
      <c r="AF3" s="22">
        <v>0.0</v>
      </c>
      <c r="AG3" s="23" t="s">
        <v>69</v>
      </c>
      <c r="AH3" s="45" t="s">
        <v>69</v>
      </c>
      <c r="AI3" s="46" t="s">
        <v>69</v>
      </c>
      <c r="AJ3" s="45" t="s">
        <v>69</v>
      </c>
      <c r="AK3" s="45" t="s">
        <v>69</v>
      </c>
      <c r="AL3" s="45" t="s">
        <v>69</v>
      </c>
      <c r="AM3" s="45" t="s">
        <v>69</v>
      </c>
      <c r="AN3" s="45" t="s">
        <v>69</v>
      </c>
      <c r="AO3" s="45" t="s">
        <v>69</v>
      </c>
      <c r="AP3" s="23" t="s">
        <v>69</v>
      </c>
      <c r="AQ3" s="23" t="s">
        <v>69</v>
      </c>
      <c r="AR3" s="23" t="s">
        <v>69</v>
      </c>
      <c r="AS3" s="23" t="s">
        <v>69</v>
      </c>
      <c r="AT3" s="23" t="s">
        <v>69</v>
      </c>
      <c r="AU3" s="23" t="s">
        <v>69</v>
      </c>
      <c r="AV3" s="23" t="s">
        <v>69</v>
      </c>
      <c r="AW3" s="23" t="s">
        <v>69</v>
      </c>
      <c r="AX3" s="23" t="s">
        <v>69</v>
      </c>
      <c r="AY3" s="23" t="s">
        <v>69</v>
      </c>
      <c r="AZ3" s="23" t="s">
        <v>69</v>
      </c>
      <c r="BA3" s="23" t="s">
        <v>69</v>
      </c>
      <c r="BB3" s="23" t="s">
        <v>69</v>
      </c>
      <c r="BC3" s="47">
        <v>0.0</v>
      </c>
      <c r="BD3" s="48" t="s">
        <v>141</v>
      </c>
      <c r="BE3" s="49">
        <v>1.0</v>
      </c>
      <c r="BF3" s="50">
        <v>30.0</v>
      </c>
      <c r="BG3" s="51" t="s">
        <v>72</v>
      </c>
      <c r="BH3" s="52">
        <v>0.0</v>
      </c>
      <c r="BI3" s="14" t="s">
        <v>145</v>
      </c>
      <c r="BJ3" s="28">
        <v>0.0</v>
      </c>
      <c r="BK3" s="29">
        <v>38.0</v>
      </c>
      <c r="BL3" s="30">
        <v>-62004.0</v>
      </c>
      <c r="BM3" s="31">
        <v>166778.0</v>
      </c>
      <c r="BN3" s="13">
        <v>0.0</v>
      </c>
      <c r="BO3" s="31">
        <v>166778.0</v>
      </c>
      <c r="BP3" s="13">
        <v>0.0</v>
      </c>
      <c r="BQ3" s="13">
        <v>0.0</v>
      </c>
      <c r="BR3" s="13">
        <v>0.0</v>
      </c>
      <c r="BS3" s="13">
        <v>0.0</v>
      </c>
      <c r="BT3" s="13">
        <v>0.0</v>
      </c>
      <c r="BU3" s="31">
        <v>0.0</v>
      </c>
      <c r="BV3" s="13">
        <v>44197.0</v>
      </c>
      <c r="BW3" s="13">
        <v>166778.0</v>
      </c>
      <c r="BX3" s="13">
        <v>122581.0</v>
      </c>
      <c r="BY3" s="32">
        <v>0.0</v>
      </c>
      <c r="BZ3" s="34">
        <v>8394.0</v>
      </c>
      <c r="CA3" s="34">
        <v>29719.0</v>
      </c>
      <c r="CB3" s="34">
        <f>CA3-BZ3</f>
        <v>21325</v>
      </c>
      <c r="CC3" s="5">
        <v>101431.0</v>
      </c>
      <c r="CD3" s="34">
        <v>359134.0</v>
      </c>
      <c r="CE3" s="34">
        <v>257703.0</v>
      </c>
      <c r="CF3" s="5">
        <v>297130.0</v>
      </c>
      <c r="CG3" s="34">
        <v>359134.0</v>
      </c>
      <c r="CH3" s="34">
        <f t="shared" si="1"/>
        <v>62004</v>
      </c>
      <c r="CI3" s="34">
        <f t="shared" si="2"/>
        <v>-62004</v>
      </c>
      <c r="CJ3" s="13"/>
    </row>
    <row r="4" ht="14.25" customHeight="1">
      <c r="A4" s="11" t="s">
        <v>146</v>
      </c>
      <c r="C4" s="43"/>
      <c r="D4" s="13"/>
      <c r="E4" s="13"/>
      <c r="F4" s="42"/>
      <c r="G4" s="12"/>
      <c r="H4" s="13"/>
      <c r="I4" s="14" t="s">
        <v>147</v>
      </c>
      <c r="J4" s="42" t="s">
        <v>121</v>
      </c>
      <c r="K4" s="13" t="s">
        <v>115</v>
      </c>
      <c r="L4" s="11" t="s">
        <v>146</v>
      </c>
      <c r="M4" s="13" t="s">
        <v>62</v>
      </c>
      <c r="N4" s="13" t="s">
        <v>63</v>
      </c>
      <c r="O4" s="15">
        <v>8000.0</v>
      </c>
      <c r="P4" s="5" t="s">
        <v>116</v>
      </c>
      <c r="Q4" s="43" t="s">
        <v>84</v>
      </c>
      <c r="R4" s="19">
        <v>100.0</v>
      </c>
      <c r="S4" s="44" t="s">
        <v>69</v>
      </c>
      <c r="T4" s="16" t="s">
        <v>66</v>
      </c>
      <c r="U4" s="17">
        <v>2.01</v>
      </c>
      <c r="V4" s="18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9">
        <v>83.07</v>
      </c>
      <c r="AB4" s="21">
        <v>25.0</v>
      </c>
      <c r="AC4" s="19">
        <v>2.5</v>
      </c>
      <c r="AD4" s="19">
        <v>6.0</v>
      </c>
      <c r="AE4" s="19">
        <v>7.8</v>
      </c>
      <c r="AF4" s="22">
        <v>0.0</v>
      </c>
      <c r="AG4" s="23" t="s">
        <v>69</v>
      </c>
      <c r="AH4" s="24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27">
        <v>0.0</v>
      </c>
      <c r="AP4" s="23" t="s">
        <v>69</v>
      </c>
      <c r="AQ4" s="23" t="s">
        <v>69</v>
      </c>
      <c r="AR4" s="23" t="s">
        <v>69</v>
      </c>
      <c r="AS4" s="23" t="s">
        <v>69</v>
      </c>
      <c r="AT4" s="23" t="s">
        <v>69</v>
      </c>
      <c r="AU4" s="23" t="s">
        <v>69</v>
      </c>
      <c r="AV4" s="23" t="s">
        <v>69</v>
      </c>
      <c r="AW4" s="23" t="s">
        <v>69</v>
      </c>
      <c r="AX4" s="23" t="s">
        <v>69</v>
      </c>
      <c r="AY4" s="23" t="s">
        <v>69</v>
      </c>
      <c r="AZ4" s="23" t="s">
        <v>69</v>
      </c>
      <c r="BA4" s="23" t="s">
        <v>69</v>
      </c>
      <c r="BB4" s="23" t="s">
        <v>69</v>
      </c>
      <c r="BC4" s="47">
        <v>0.0</v>
      </c>
      <c r="BD4" s="48" t="s">
        <v>141</v>
      </c>
      <c r="BE4" s="49">
        <v>1.0</v>
      </c>
      <c r="BF4" s="50">
        <v>30.0</v>
      </c>
      <c r="BG4" s="51" t="s">
        <v>72</v>
      </c>
      <c r="BH4" s="52">
        <v>0.0</v>
      </c>
      <c r="BI4" s="14" t="s">
        <v>148</v>
      </c>
      <c r="BJ4" s="124">
        <v>80.0</v>
      </c>
      <c r="BK4" s="29">
        <v>38.0</v>
      </c>
      <c r="BL4" s="30">
        <v>-165234.0</v>
      </c>
      <c r="BM4" s="31">
        <v>136956.0</v>
      </c>
      <c r="BN4" s="13">
        <v>0.0</v>
      </c>
      <c r="BO4" s="31">
        <v>136956.0</v>
      </c>
      <c r="BP4" s="13">
        <v>29822.0</v>
      </c>
      <c r="BQ4" s="13">
        <v>0.0</v>
      </c>
      <c r="BR4" s="13">
        <v>32016.0</v>
      </c>
      <c r="BS4" s="13">
        <v>0.0</v>
      </c>
      <c r="BT4" s="13">
        <v>61838.0</v>
      </c>
      <c r="BU4" s="31">
        <v>0.0</v>
      </c>
      <c r="BV4" s="13">
        <v>44197.0</v>
      </c>
      <c r="BW4" s="13">
        <v>136956.0</v>
      </c>
      <c r="BX4" s="13">
        <f t="shared" ref="BX4:BX7" si="3">BW4-BV4</f>
        <v>92759</v>
      </c>
      <c r="BY4" s="32">
        <v>0.37</v>
      </c>
      <c r="BZ4" s="34">
        <v>8394.0</v>
      </c>
      <c r="CA4" s="34">
        <v>19997.0</v>
      </c>
      <c r="CB4" s="34">
        <v>11603.0</v>
      </c>
      <c r="CC4" s="34">
        <v>334284.0</v>
      </c>
      <c r="CD4" s="34">
        <v>796398.0</v>
      </c>
      <c r="CE4" s="34">
        <v>462113.0</v>
      </c>
      <c r="CF4" s="34">
        <v>860764.0</v>
      </c>
      <c r="CG4" s="34">
        <v>1025998.0</v>
      </c>
      <c r="CH4" s="34">
        <f t="shared" si="1"/>
        <v>165234</v>
      </c>
      <c r="CI4" s="34">
        <f t="shared" si="2"/>
        <v>-165234</v>
      </c>
      <c r="CJ4" s="13"/>
    </row>
    <row r="5" ht="14.25" customHeight="1">
      <c r="A5" s="11" t="s">
        <v>149</v>
      </c>
      <c r="C5" s="43"/>
      <c r="D5" s="13"/>
      <c r="E5" s="13"/>
      <c r="F5" s="42"/>
      <c r="G5" s="13"/>
      <c r="H5" s="12"/>
      <c r="I5" s="125" t="s">
        <v>150</v>
      </c>
      <c r="J5" s="42" t="s">
        <v>121</v>
      </c>
      <c r="K5" s="13" t="s">
        <v>115</v>
      </c>
      <c r="L5" s="11" t="s">
        <v>149</v>
      </c>
      <c r="M5" s="13" t="s">
        <v>62</v>
      </c>
      <c r="N5" s="13" t="s">
        <v>63</v>
      </c>
      <c r="O5" s="15">
        <v>8000.0</v>
      </c>
      <c r="P5" s="5" t="s">
        <v>116</v>
      </c>
      <c r="Q5" s="43" t="s">
        <v>84</v>
      </c>
      <c r="R5" s="19">
        <v>100.0</v>
      </c>
      <c r="S5" s="44" t="s">
        <v>69</v>
      </c>
      <c r="T5" s="16" t="s">
        <v>66</v>
      </c>
      <c r="U5" s="17">
        <v>2.01</v>
      </c>
      <c r="V5" s="18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9">
        <v>83.07</v>
      </c>
      <c r="AB5" s="21">
        <v>10.0</v>
      </c>
      <c r="AC5" s="19">
        <v>2.5</v>
      </c>
      <c r="AD5" s="19">
        <v>6.0</v>
      </c>
      <c r="AE5" s="19">
        <v>7.8</v>
      </c>
      <c r="AF5" s="22">
        <v>0.0</v>
      </c>
      <c r="AG5" s="23" t="s">
        <v>69</v>
      </c>
      <c r="AH5" s="24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27">
        <v>0.0</v>
      </c>
      <c r="AP5" s="23" t="s">
        <v>69</v>
      </c>
      <c r="AQ5" s="23" t="s">
        <v>69</v>
      </c>
      <c r="AR5" s="23" t="s">
        <v>69</v>
      </c>
      <c r="AS5" s="23" t="s">
        <v>69</v>
      </c>
      <c r="AT5" s="23" t="s">
        <v>69</v>
      </c>
      <c r="AU5" s="23" t="s">
        <v>69</v>
      </c>
      <c r="AV5" s="23" t="s">
        <v>69</v>
      </c>
      <c r="AW5" s="23" t="s">
        <v>69</v>
      </c>
      <c r="AX5" s="23" t="s">
        <v>69</v>
      </c>
      <c r="AY5" s="23" t="s">
        <v>69</v>
      </c>
      <c r="AZ5" s="23" t="s">
        <v>69</v>
      </c>
      <c r="BA5" s="23" t="s">
        <v>69</v>
      </c>
      <c r="BB5" s="23" t="s">
        <v>69</v>
      </c>
      <c r="BC5" s="47">
        <v>0.0</v>
      </c>
      <c r="BD5" s="48" t="s">
        <v>141</v>
      </c>
      <c r="BE5" s="49">
        <v>1.0</v>
      </c>
      <c r="BF5" s="50">
        <v>30.0</v>
      </c>
      <c r="BG5" s="51" t="s">
        <v>72</v>
      </c>
      <c r="BH5" s="52">
        <v>0.0</v>
      </c>
      <c r="BI5" s="125" t="s">
        <v>151</v>
      </c>
      <c r="BJ5" s="124">
        <v>80.0</v>
      </c>
      <c r="BK5" s="29">
        <v>38.0</v>
      </c>
      <c r="BL5" s="30">
        <v>39866.0</v>
      </c>
      <c r="BM5" s="31">
        <v>136352.0</v>
      </c>
      <c r="BN5" s="13">
        <v>0.0</v>
      </c>
      <c r="BO5" s="31">
        <v>136352.0</v>
      </c>
      <c r="BP5" s="13">
        <v>30426.0</v>
      </c>
      <c r="BQ5" s="13">
        <v>0.0</v>
      </c>
      <c r="BR5" s="13">
        <v>34215.0</v>
      </c>
      <c r="BS5" s="13">
        <v>0.0</v>
      </c>
      <c r="BT5" s="13">
        <v>64641.0</v>
      </c>
      <c r="BU5" s="31">
        <v>0.0</v>
      </c>
      <c r="BV5" s="13">
        <v>44197.0</v>
      </c>
      <c r="BW5" s="13">
        <v>136352.0</v>
      </c>
      <c r="BX5" s="13">
        <f t="shared" si="3"/>
        <v>92155</v>
      </c>
      <c r="BY5" s="32">
        <v>0.39</v>
      </c>
      <c r="BZ5" s="34">
        <v>8394.0</v>
      </c>
      <c r="CA5" s="34">
        <v>19568.0</v>
      </c>
      <c r="CB5" s="34">
        <f t="shared" ref="CB5:CB7" si="4">CA5-BZ5</f>
        <v>11174</v>
      </c>
      <c r="CC5" s="34">
        <v>101431.0</v>
      </c>
      <c r="CD5" s="34">
        <v>236464.0</v>
      </c>
      <c r="CE5" s="34">
        <f t="shared" ref="CE5:CE7" si="5">CD5-CC5</f>
        <v>135033</v>
      </c>
      <c r="CF5" s="34">
        <v>297130.0</v>
      </c>
      <c r="CG5" s="34">
        <v>257264.0</v>
      </c>
      <c r="CH5" s="34">
        <f t="shared" si="1"/>
        <v>-39866</v>
      </c>
      <c r="CI5" s="34">
        <f t="shared" si="2"/>
        <v>39866</v>
      </c>
      <c r="CJ5" s="13"/>
    </row>
    <row r="6" ht="14.25" customHeight="1">
      <c r="A6" s="11" t="s">
        <v>152</v>
      </c>
      <c r="D6" s="39"/>
      <c r="E6" s="13"/>
      <c r="F6" s="42"/>
      <c r="G6" s="73"/>
      <c r="H6" s="5"/>
      <c r="I6" s="125" t="s">
        <v>153</v>
      </c>
      <c r="J6" s="42" t="s">
        <v>121</v>
      </c>
      <c r="K6" s="13" t="s">
        <v>115</v>
      </c>
      <c r="L6" s="11" t="s">
        <v>152</v>
      </c>
      <c r="M6" s="5" t="s">
        <v>62</v>
      </c>
      <c r="N6" s="13" t="s">
        <v>63</v>
      </c>
      <c r="O6" s="15">
        <v>8000.0</v>
      </c>
      <c r="P6" s="5" t="s">
        <v>116</v>
      </c>
      <c r="Q6" s="39" t="s">
        <v>85</v>
      </c>
      <c r="R6" s="74" t="s">
        <v>69</v>
      </c>
      <c r="S6" s="5">
        <v>0.06713</v>
      </c>
      <c r="T6" s="16" t="s">
        <v>66</v>
      </c>
      <c r="U6" s="75">
        <v>2.01</v>
      </c>
      <c r="V6" s="18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5">
        <v>83.07</v>
      </c>
      <c r="AB6" s="21">
        <v>25.0</v>
      </c>
      <c r="AC6" s="5">
        <v>2.5</v>
      </c>
      <c r="AD6" s="5">
        <v>6.0</v>
      </c>
      <c r="AE6" s="19">
        <v>7.8</v>
      </c>
      <c r="AF6" s="22">
        <v>0.0</v>
      </c>
      <c r="AG6" s="23" t="s">
        <v>69</v>
      </c>
      <c r="AH6" s="24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27">
        <v>0.0</v>
      </c>
      <c r="AP6" s="23" t="s">
        <v>69</v>
      </c>
      <c r="AQ6" s="23" t="s">
        <v>69</v>
      </c>
      <c r="AR6" s="23" t="s">
        <v>69</v>
      </c>
      <c r="AS6" s="23" t="s">
        <v>69</v>
      </c>
      <c r="AT6" s="23" t="s">
        <v>69</v>
      </c>
      <c r="AU6" s="23" t="s">
        <v>69</v>
      </c>
      <c r="AV6" s="23" t="s">
        <v>69</v>
      </c>
      <c r="AW6" s="23" t="s">
        <v>69</v>
      </c>
      <c r="AX6" s="23" t="s">
        <v>69</v>
      </c>
      <c r="AY6" s="23" t="s">
        <v>69</v>
      </c>
      <c r="AZ6" s="23" t="s">
        <v>69</v>
      </c>
      <c r="BA6" s="23" t="s">
        <v>69</v>
      </c>
      <c r="BB6" s="23" t="s">
        <v>69</v>
      </c>
      <c r="BC6" s="47">
        <v>0.0</v>
      </c>
      <c r="BD6" s="48" t="s">
        <v>141</v>
      </c>
      <c r="BE6" s="49">
        <v>1.0</v>
      </c>
      <c r="BF6" s="50">
        <v>30.0</v>
      </c>
      <c r="BG6" s="51" t="s">
        <v>72</v>
      </c>
      <c r="BH6" s="52">
        <v>0.0</v>
      </c>
      <c r="BI6" s="125" t="s">
        <v>154</v>
      </c>
      <c r="BJ6" s="124">
        <v>66.0</v>
      </c>
      <c r="BK6" s="29">
        <v>38.0</v>
      </c>
      <c r="BL6" s="126">
        <v>-268592.0</v>
      </c>
      <c r="BM6" s="29">
        <v>139510.0</v>
      </c>
      <c r="BN6" s="13">
        <v>0.0</v>
      </c>
      <c r="BO6" s="29">
        <f>BM6</f>
        <v>139510</v>
      </c>
      <c r="BP6" s="5">
        <v>27268.0</v>
      </c>
      <c r="BQ6" s="13">
        <v>0.0</v>
      </c>
      <c r="BR6" s="5">
        <v>23752.0</v>
      </c>
      <c r="BS6" s="13">
        <v>0.0</v>
      </c>
      <c r="BT6" s="5">
        <v>51020.0</v>
      </c>
      <c r="BU6" s="31">
        <v>0.0</v>
      </c>
      <c r="BV6" s="13">
        <v>44197.0</v>
      </c>
      <c r="BW6" s="5">
        <v>139510.0</v>
      </c>
      <c r="BX6" s="13">
        <f t="shared" si="3"/>
        <v>95313</v>
      </c>
      <c r="BY6" s="120">
        <v>0.31</v>
      </c>
      <c r="BZ6" s="34">
        <v>8394.0</v>
      </c>
      <c r="CA6" s="33">
        <v>23601.0</v>
      </c>
      <c r="CB6" s="34">
        <f t="shared" si="4"/>
        <v>15207</v>
      </c>
      <c r="CC6" s="33">
        <v>334284.0</v>
      </c>
      <c r="CD6" s="33">
        <v>939924.0</v>
      </c>
      <c r="CE6" s="34">
        <f t="shared" si="5"/>
        <v>605640</v>
      </c>
      <c r="CF6" s="33">
        <v>860764.0</v>
      </c>
      <c r="CG6" s="33">
        <v>1129356.0</v>
      </c>
      <c r="CH6" s="34">
        <f t="shared" si="1"/>
        <v>268592</v>
      </c>
      <c r="CI6" s="34">
        <f t="shared" si="2"/>
        <v>-268592</v>
      </c>
      <c r="CJ6" s="5"/>
    </row>
    <row r="7" ht="14.25" customHeight="1">
      <c r="A7" s="11" t="s">
        <v>155</v>
      </c>
      <c r="B7" s="81"/>
      <c r="C7" s="81"/>
      <c r="D7" s="82"/>
      <c r="E7" s="83"/>
      <c r="F7" s="84"/>
      <c r="G7" s="81"/>
      <c r="H7" s="85"/>
      <c r="I7" s="14" t="s">
        <v>156</v>
      </c>
      <c r="J7" s="42" t="s">
        <v>121</v>
      </c>
      <c r="K7" s="83" t="s">
        <v>115</v>
      </c>
      <c r="L7" s="11" t="s">
        <v>155</v>
      </c>
      <c r="M7" s="81" t="s">
        <v>62</v>
      </c>
      <c r="N7" s="83" t="s">
        <v>63</v>
      </c>
      <c r="O7" s="87">
        <v>8000.0</v>
      </c>
      <c r="P7" s="83" t="s">
        <v>116</v>
      </c>
      <c r="Q7" s="82" t="s">
        <v>85</v>
      </c>
      <c r="R7" s="88" t="s">
        <v>69</v>
      </c>
      <c r="S7" s="81">
        <v>0.06713</v>
      </c>
      <c r="T7" s="89" t="s">
        <v>66</v>
      </c>
      <c r="U7" s="90">
        <v>2.01</v>
      </c>
      <c r="V7" s="91" t="s">
        <v>67</v>
      </c>
      <c r="W7" s="92">
        <v>2024.0</v>
      </c>
      <c r="X7" s="93" t="s">
        <v>68</v>
      </c>
      <c r="Y7" s="81">
        <v>100.0</v>
      </c>
      <c r="Z7" s="92">
        <v>2024.0</v>
      </c>
      <c r="AA7" s="81">
        <v>83.07</v>
      </c>
      <c r="AB7" s="94">
        <v>10.0</v>
      </c>
      <c r="AC7" s="81">
        <v>2.5</v>
      </c>
      <c r="AD7" s="81">
        <v>6.0</v>
      </c>
      <c r="AE7" s="92">
        <v>7.8</v>
      </c>
      <c r="AF7" s="95">
        <v>0.0</v>
      </c>
      <c r="AG7" s="96" t="s">
        <v>69</v>
      </c>
      <c r="AH7" s="97" t="s">
        <v>70</v>
      </c>
      <c r="AI7" s="98">
        <v>0.0</v>
      </c>
      <c r="AJ7" s="95" t="s">
        <v>71</v>
      </c>
      <c r="AK7" s="95">
        <v>335.4</v>
      </c>
      <c r="AL7" s="95">
        <v>10.7</v>
      </c>
      <c r="AM7" s="95">
        <v>0.0</v>
      </c>
      <c r="AN7" s="99" t="s">
        <v>72</v>
      </c>
      <c r="AO7" s="100">
        <v>0.0</v>
      </c>
      <c r="AP7" s="96" t="s">
        <v>69</v>
      </c>
      <c r="AQ7" s="96" t="s">
        <v>69</v>
      </c>
      <c r="AR7" s="96" t="s">
        <v>69</v>
      </c>
      <c r="AS7" s="96" t="s">
        <v>69</v>
      </c>
      <c r="AT7" s="96" t="s">
        <v>69</v>
      </c>
      <c r="AU7" s="96" t="s">
        <v>69</v>
      </c>
      <c r="AV7" s="96" t="s">
        <v>69</v>
      </c>
      <c r="AW7" s="96" t="s">
        <v>69</v>
      </c>
      <c r="AX7" s="96" t="s">
        <v>69</v>
      </c>
      <c r="AY7" s="96" t="s">
        <v>69</v>
      </c>
      <c r="AZ7" s="96" t="s">
        <v>69</v>
      </c>
      <c r="BA7" s="96" t="s">
        <v>69</v>
      </c>
      <c r="BB7" s="96" t="s">
        <v>69</v>
      </c>
      <c r="BC7" s="101">
        <v>0.0</v>
      </c>
      <c r="BD7" s="127" t="s">
        <v>141</v>
      </c>
      <c r="BE7" s="103">
        <v>1.0</v>
      </c>
      <c r="BF7" s="104">
        <v>30.0</v>
      </c>
      <c r="BG7" s="105" t="s">
        <v>72</v>
      </c>
      <c r="BH7" s="106">
        <v>0.0</v>
      </c>
      <c r="BI7" s="14" t="s">
        <v>157</v>
      </c>
      <c r="BJ7" s="128">
        <v>80.0</v>
      </c>
      <c r="BK7" s="129">
        <v>38.0</v>
      </c>
      <c r="BL7" s="130">
        <v>6047.0</v>
      </c>
      <c r="BM7" s="129">
        <v>136352.0</v>
      </c>
      <c r="BN7" s="83">
        <v>0.0</v>
      </c>
      <c r="BO7" s="81">
        <v>136352.0</v>
      </c>
      <c r="BP7" s="81">
        <v>30426.0</v>
      </c>
      <c r="BQ7" s="13">
        <v>0.0</v>
      </c>
      <c r="BR7" s="81">
        <v>34215.0</v>
      </c>
      <c r="BS7" s="13">
        <v>0.0</v>
      </c>
      <c r="BT7" s="81">
        <v>64641.0</v>
      </c>
      <c r="BU7" s="31">
        <v>0.0</v>
      </c>
      <c r="BV7" s="13">
        <v>44197.0</v>
      </c>
      <c r="BW7" s="81">
        <v>136352.0</v>
      </c>
      <c r="BX7" s="13">
        <f t="shared" si="3"/>
        <v>92155</v>
      </c>
      <c r="BY7" s="131">
        <v>0.39</v>
      </c>
      <c r="BZ7" s="34">
        <v>8394.0</v>
      </c>
      <c r="CA7" s="132">
        <v>22366.0</v>
      </c>
      <c r="CB7" s="34">
        <f t="shared" si="4"/>
        <v>13972</v>
      </c>
      <c r="CC7" s="132">
        <v>101431.0</v>
      </c>
      <c r="CD7" s="132">
        <v>270283.0</v>
      </c>
      <c r="CE7" s="34">
        <f t="shared" si="5"/>
        <v>168852</v>
      </c>
      <c r="CF7" s="81">
        <v>297130.0</v>
      </c>
      <c r="CG7" s="129">
        <v>291084.0</v>
      </c>
      <c r="CH7" s="34">
        <f t="shared" si="1"/>
        <v>-6046</v>
      </c>
      <c r="CI7" s="34">
        <f t="shared" si="2"/>
        <v>6046</v>
      </c>
      <c r="CJ7" s="81"/>
    </row>
    <row r="8" ht="14.25" customHeight="1">
      <c r="BG8" s="13"/>
      <c r="BH8" s="13"/>
      <c r="BX8" s="13"/>
    </row>
    <row r="9" ht="14.25" customHeight="1">
      <c r="A9" s="119" t="s">
        <v>158</v>
      </c>
      <c r="BG9" s="13"/>
      <c r="BH9" s="13"/>
    </row>
    <row r="10" ht="14.25" customHeight="1">
      <c r="A10" s="119"/>
      <c r="BG10" s="13"/>
      <c r="BH10" s="13"/>
    </row>
    <row r="11" ht="14.25" customHeight="1">
      <c r="BG11" s="13"/>
      <c r="BH11" s="13"/>
    </row>
    <row r="12" ht="14.25" customHeight="1">
      <c r="BG12" s="13"/>
      <c r="BH12" s="13"/>
    </row>
    <row r="13" ht="14.25" customHeight="1">
      <c r="BG13" s="13"/>
      <c r="BH13" s="13"/>
    </row>
    <row r="14" ht="14.25" customHeight="1">
      <c r="BG14" s="13"/>
      <c r="BH14" s="13"/>
    </row>
    <row r="15" ht="14.25" customHeight="1">
      <c r="AQ15" s="5"/>
      <c r="BG15" s="13"/>
      <c r="BH15" s="13"/>
    </row>
    <row r="16" ht="14.25" customHeight="1">
      <c r="BG16" s="13"/>
      <c r="BH16" s="13"/>
    </row>
    <row r="17" ht="14.25" customHeight="1">
      <c r="BG17" s="13"/>
      <c r="BH17" s="13"/>
    </row>
    <row r="18" ht="14.25" customHeight="1">
      <c r="BG18" s="13"/>
      <c r="BH18" s="13"/>
    </row>
    <row r="19" ht="14.25" customHeight="1">
      <c r="BG19" s="13"/>
      <c r="BH19" s="13"/>
    </row>
    <row r="20" ht="14.25" customHeight="1">
      <c r="BG20" s="13"/>
      <c r="BH20" s="13"/>
    </row>
    <row r="21" ht="14.25" customHeight="1">
      <c r="BG21" s="13"/>
      <c r="BH21" s="13"/>
    </row>
    <row r="22" ht="14.25" customHeight="1">
      <c r="BG22" s="13"/>
      <c r="BH22" s="13"/>
    </row>
    <row r="23" ht="14.25" customHeight="1">
      <c r="BG23" s="13"/>
      <c r="BH23" s="13"/>
    </row>
    <row r="24" ht="14.25" customHeight="1">
      <c r="BG24" s="13"/>
      <c r="BH24" s="13"/>
    </row>
    <row r="25" ht="14.25" customHeight="1">
      <c r="BG25" s="13"/>
      <c r="BH25" s="13"/>
    </row>
    <row r="26" ht="14.25" customHeight="1">
      <c r="BG26" s="13"/>
      <c r="BH26" s="13"/>
    </row>
    <row r="27" ht="14.25" customHeight="1">
      <c r="BG27" s="13"/>
      <c r="BH27" s="13"/>
    </row>
    <row r="28" ht="14.25" customHeight="1">
      <c r="BG28" s="13"/>
      <c r="BH28" s="13"/>
    </row>
    <row r="29" ht="14.25" customHeight="1">
      <c r="BG29" s="13"/>
      <c r="BH29" s="13"/>
    </row>
    <row r="30" ht="14.25" customHeight="1">
      <c r="BG30" s="13"/>
      <c r="BH30" s="13"/>
    </row>
    <row r="31" ht="14.25" customHeight="1">
      <c r="BG31" s="13"/>
      <c r="BH31" s="13"/>
    </row>
    <row r="32" ht="14.25" customHeight="1">
      <c r="BG32" s="13"/>
      <c r="BH32" s="13"/>
    </row>
    <row r="33" ht="14.25" customHeight="1">
      <c r="BG33" s="13"/>
      <c r="BH33" s="13"/>
    </row>
    <row r="34" ht="14.25" customHeight="1">
      <c r="BG34" s="13"/>
      <c r="BH34" s="13"/>
    </row>
    <row r="35" ht="14.25" customHeight="1">
      <c r="BG35" s="13"/>
      <c r="BH35" s="13"/>
    </row>
    <row r="36" ht="14.25" customHeight="1">
      <c r="BG36" s="13"/>
      <c r="BH36" s="13"/>
    </row>
    <row r="37" ht="14.25" customHeight="1">
      <c r="BG37" s="13"/>
      <c r="BH37" s="13"/>
    </row>
    <row r="38" ht="14.25" customHeight="1">
      <c r="BG38" s="13"/>
      <c r="BH38" s="13"/>
    </row>
    <row r="39" ht="14.25" customHeight="1">
      <c r="BG39" s="13"/>
      <c r="BH39" s="13"/>
    </row>
    <row r="40" ht="14.25" customHeight="1">
      <c r="BG40" s="13"/>
      <c r="BH40" s="13"/>
    </row>
    <row r="41" ht="14.25" customHeight="1">
      <c r="BG41" s="13"/>
      <c r="BH41" s="13"/>
    </row>
    <row r="42" ht="14.25" customHeight="1">
      <c r="BG42" s="13"/>
      <c r="BH42" s="13"/>
    </row>
    <row r="43" ht="14.25" customHeight="1">
      <c r="BG43" s="13"/>
      <c r="BH43" s="13"/>
    </row>
    <row r="44" ht="14.25" customHeight="1">
      <c r="BG44" s="13"/>
      <c r="BH44" s="13"/>
    </row>
    <row r="45" ht="14.25" customHeight="1">
      <c r="BG45" s="13"/>
      <c r="BH45" s="13"/>
    </row>
    <row r="46" ht="14.25" customHeight="1">
      <c r="BG46" s="13"/>
      <c r="BH46" s="13"/>
    </row>
    <row r="47" ht="14.25" customHeight="1">
      <c r="BG47" s="13"/>
      <c r="BH47" s="13"/>
    </row>
    <row r="48" ht="14.25" customHeight="1">
      <c r="BG48" s="13"/>
      <c r="BH48" s="13"/>
    </row>
    <row r="49" ht="14.25" customHeight="1">
      <c r="BG49" s="13"/>
      <c r="BH49" s="13"/>
    </row>
    <row r="50" ht="14.25" customHeight="1">
      <c r="BG50" s="13"/>
      <c r="BH50" s="13"/>
    </row>
    <row r="51" ht="14.25" customHeight="1">
      <c r="BG51" s="13"/>
      <c r="BH51" s="13"/>
    </row>
    <row r="52" ht="14.25" customHeight="1">
      <c r="BG52" s="13"/>
      <c r="BH52" s="13"/>
    </row>
    <row r="53" ht="14.25" customHeight="1">
      <c r="BG53" s="13"/>
      <c r="BH53" s="13"/>
    </row>
    <row r="54" ht="14.25" customHeight="1">
      <c r="BG54" s="13"/>
      <c r="BH54" s="13"/>
    </row>
    <row r="55" ht="14.25" customHeight="1">
      <c r="BG55" s="13"/>
      <c r="BH55" s="13"/>
    </row>
    <row r="56" ht="14.25" customHeight="1">
      <c r="BG56" s="13"/>
      <c r="BH56" s="13"/>
    </row>
    <row r="57" ht="14.25" customHeight="1">
      <c r="BG57" s="13"/>
      <c r="BH57" s="13"/>
    </row>
    <row r="58" ht="14.25" customHeight="1">
      <c r="BG58" s="13"/>
      <c r="BH58" s="13"/>
    </row>
    <row r="59" ht="14.25" customHeight="1">
      <c r="BG59" s="13"/>
      <c r="BH59" s="13"/>
    </row>
    <row r="60" ht="14.25" customHeight="1">
      <c r="BG60" s="13"/>
      <c r="BH60" s="13"/>
    </row>
    <row r="61" ht="14.25" customHeight="1">
      <c r="BG61" s="13"/>
      <c r="BH61" s="13"/>
    </row>
    <row r="62" ht="14.25" customHeight="1">
      <c r="BG62" s="13"/>
      <c r="BH62" s="13"/>
    </row>
    <row r="63" ht="14.25" customHeight="1">
      <c r="BG63" s="13"/>
      <c r="BH63" s="13"/>
    </row>
    <row r="64" ht="14.25" customHeight="1">
      <c r="BG64" s="13"/>
      <c r="BH64" s="13"/>
    </row>
    <row r="65" ht="14.25" customHeight="1">
      <c r="BG65" s="13"/>
      <c r="BH65" s="13"/>
    </row>
    <row r="66" ht="14.25" customHeight="1">
      <c r="BG66" s="13"/>
      <c r="BH66" s="13"/>
    </row>
    <row r="67" ht="14.25" customHeight="1">
      <c r="BG67" s="13"/>
      <c r="BH67" s="13"/>
    </row>
    <row r="68" ht="14.25" customHeight="1">
      <c r="BG68" s="13"/>
      <c r="BH68" s="13"/>
    </row>
    <row r="69" ht="14.25" customHeight="1">
      <c r="BG69" s="13"/>
      <c r="BH69" s="13"/>
    </row>
    <row r="70" ht="14.25" customHeight="1">
      <c r="BG70" s="13"/>
      <c r="BH70" s="13"/>
    </row>
    <row r="71" ht="14.25" customHeight="1">
      <c r="BG71" s="13"/>
      <c r="BH71" s="13"/>
    </row>
    <row r="72" ht="14.25" customHeight="1">
      <c r="BG72" s="13"/>
      <c r="BH72" s="13"/>
    </row>
    <row r="73" ht="14.25" customHeight="1">
      <c r="BG73" s="13"/>
      <c r="BH73" s="13"/>
    </row>
    <row r="74" ht="14.25" customHeight="1">
      <c r="BG74" s="13"/>
      <c r="BH74" s="13"/>
    </row>
    <row r="75" ht="14.25" customHeight="1">
      <c r="BG75" s="13"/>
      <c r="BH75" s="13"/>
    </row>
    <row r="76" ht="14.25" customHeight="1">
      <c r="BG76" s="13"/>
      <c r="BH76" s="13"/>
    </row>
    <row r="77" ht="14.25" customHeight="1">
      <c r="BG77" s="13"/>
      <c r="BH77" s="13"/>
    </row>
    <row r="78" ht="14.25" customHeight="1">
      <c r="BG78" s="13"/>
      <c r="BH78" s="13"/>
    </row>
    <row r="79" ht="14.25" customHeight="1">
      <c r="BG79" s="13"/>
      <c r="BH79" s="13"/>
    </row>
    <row r="80" ht="14.25" customHeight="1">
      <c r="BG80" s="13"/>
      <c r="BH80" s="13"/>
    </row>
    <row r="81" ht="14.25" customHeight="1">
      <c r="BG81" s="13"/>
      <c r="BH81" s="13"/>
    </row>
    <row r="82" ht="14.25" customHeight="1">
      <c r="BG82" s="13"/>
      <c r="BH82" s="13"/>
    </row>
    <row r="83" ht="14.25" customHeight="1">
      <c r="BG83" s="13"/>
      <c r="BH83" s="13"/>
    </row>
    <row r="84" ht="14.25" customHeight="1">
      <c r="BG84" s="13"/>
      <c r="BH84" s="13"/>
    </row>
    <row r="85" ht="14.25" customHeight="1">
      <c r="BG85" s="13"/>
      <c r="BH85" s="13"/>
    </row>
    <row r="86" ht="14.25" customHeight="1">
      <c r="BG86" s="13"/>
      <c r="BH86" s="13"/>
    </row>
    <row r="87" ht="14.25" customHeight="1">
      <c r="BG87" s="13"/>
      <c r="BH87" s="13"/>
    </row>
    <row r="88" ht="14.25" customHeight="1">
      <c r="BG88" s="13"/>
      <c r="BH88" s="13"/>
    </row>
    <row r="89" ht="14.25" customHeight="1">
      <c r="BG89" s="13"/>
      <c r="BH89" s="13"/>
    </row>
    <row r="90" ht="14.25" customHeight="1">
      <c r="BG90" s="13"/>
      <c r="BH90" s="13"/>
    </row>
    <row r="91" ht="14.25" customHeight="1">
      <c r="BG91" s="13"/>
      <c r="BH91" s="13"/>
    </row>
    <row r="92" ht="14.25" customHeight="1">
      <c r="BG92" s="13"/>
      <c r="BH92" s="13"/>
    </row>
    <row r="93" ht="14.25" customHeight="1">
      <c r="BG93" s="13"/>
      <c r="BH93" s="13"/>
    </row>
    <row r="94" ht="14.25" customHeight="1">
      <c r="BG94" s="13"/>
      <c r="BH94" s="13"/>
    </row>
    <row r="95" ht="14.25" customHeight="1">
      <c r="BG95" s="13"/>
      <c r="BH95" s="13"/>
    </row>
    <row r="96" ht="14.25" customHeight="1">
      <c r="BG96" s="13"/>
      <c r="BH96" s="13"/>
    </row>
    <row r="97" ht="14.25" customHeight="1">
      <c r="BG97" s="13"/>
      <c r="BH97" s="13"/>
    </row>
    <row r="98" ht="14.25" customHeight="1">
      <c r="BG98" s="13"/>
      <c r="BH98" s="13"/>
    </row>
    <row r="99" ht="14.25" customHeight="1">
      <c r="BG99" s="13"/>
      <c r="BH99" s="13"/>
    </row>
    <row r="100" ht="14.25" customHeight="1">
      <c r="BG100" s="13"/>
      <c r="BH100" s="13"/>
    </row>
    <row r="101" ht="14.25" customHeight="1">
      <c r="BG101" s="13"/>
      <c r="BH101" s="13"/>
    </row>
    <row r="102" ht="14.25" customHeight="1">
      <c r="BG102" s="13"/>
      <c r="BH102" s="13"/>
    </row>
    <row r="103" ht="14.25" customHeight="1">
      <c r="BG103" s="13"/>
      <c r="BH103" s="13"/>
    </row>
    <row r="104" ht="14.25" customHeight="1">
      <c r="BG104" s="13"/>
      <c r="BH104" s="13"/>
    </row>
    <row r="105" ht="14.25" customHeight="1">
      <c r="BG105" s="13"/>
      <c r="BH105" s="13"/>
    </row>
    <row r="106" ht="14.25" customHeight="1">
      <c r="BG106" s="13"/>
      <c r="BH106" s="13"/>
    </row>
    <row r="107" ht="14.25" customHeight="1">
      <c r="BG107" s="13"/>
      <c r="BH107" s="13"/>
    </row>
    <row r="108" ht="14.25" customHeight="1">
      <c r="BG108" s="13"/>
      <c r="BH108" s="13"/>
    </row>
    <row r="109" ht="14.25" customHeight="1">
      <c r="BG109" s="13"/>
      <c r="BH109" s="13"/>
    </row>
    <row r="110" ht="14.25" customHeight="1">
      <c r="BG110" s="13"/>
      <c r="BH110" s="13"/>
    </row>
    <row r="111" ht="14.25" customHeight="1">
      <c r="BG111" s="13"/>
      <c r="BH111" s="13"/>
    </row>
    <row r="112" ht="14.25" customHeight="1">
      <c r="BG112" s="13"/>
      <c r="BH112" s="13"/>
    </row>
    <row r="113" ht="14.25" customHeight="1">
      <c r="BG113" s="13"/>
      <c r="BH113" s="13"/>
    </row>
    <row r="114" ht="14.25" customHeight="1">
      <c r="BG114" s="13"/>
      <c r="BH114" s="13"/>
    </row>
    <row r="115" ht="14.25" customHeight="1">
      <c r="BG115" s="13"/>
      <c r="BH115" s="13"/>
    </row>
    <row r="116" ht="14.25" customHeight="1">
      <c r="BG116" s="13"/>
      <c r="BH116" s="13"/>
    </row>
    <row r="117" ht="14.25" customHeight="1">
      <c r="BG117" s="13"/>
      <c r="BH117" s="13"/>
    </row>
    <row r="118" ht="14.25" customHeight="1">
      <c r="BG118" s="13"/>
      <c r="BH118" s="13"/>
    </row>
    <row r="119" ht="14.25" customHeight="1">
      <c r="BG119" s="13"/>
      <c r="BH119" s="13"/>
    </row>
    <row r="120" ht="14.25" customHeight="1">
      <c r="BG120" s="13"/>
      <c r="BH120" s="13"/>
    </row>
    <row r="121" ht="14.25" customHeight="1">
      <c r="BG121" s="13"/>
      <c r="BH121" s="13"/>
    </row>
    <row r="122" ht="14.25" customHeight="1">
      <c r="BG122" s="13"/>
      <c r="BH122" s="13"/>
    </row>
    <row r="123" ht="14.25" customHeight="1">
      <c r="BG123" s="13"/>
      <c r="BH123" s="13"/>
    </row>
    <row r="124" ht="14.25" customHeight="1">
      <c r="BG124" s="13"/>
      <c r="BH124" s="13"/>
    </row>
    <row r="125" ht="14.25" customHeight="1">
      <c r="BG125" s="13"/>
      <c r="BH125" s="13"/>
    </row>
    <row r="126" ht="14.25" customHeight="1">
      <c r="BG126" s="13"/>
      <c r="BH126" s="13"/>
    </row>
    <row r="127" ht="14.25" customHeight="1">
      <c r="BG127" s="13"/>
      <c r="BH127" s="13"/>
    </row>
    <row r="128" ht="14.25" customHeight="1">
      <c r="BG128" s="13"/>
      <c r="BH128" s="13"/>
    </row>
    <row r="129" ht="14.25" customHeight="1">
      <c r="BG129" s="13"/>
      <c r="BH129" s="13"/>
    </row>
    <row r="130" ht="14.25" customHeight="1">
      <c r="BG130" s="13"/>
      <c r="BH130" s="13"/>
    </row>
    <row r="131" ht="14.25" customHeight="1">
      <c r="BG131" s="13"/>
      <c r="BH131" s="13"/>
    </row>
    <row r="132" ht="14.25" customHeight="1">
      <c r="BG132" s="13"/>
      <c r="BH132" s="13"/>
    </row>
    <row r="133" ht="14.25" customHeight="1">
      <c r="BG133" s="13"/>
      <c r="BH133" s="13"/>
    </row>
    <row r="134" ht="14.25" customHeight="1">
      <c r="BG134" s="13"/>
      <c r="BH134" s="13"/>
    </row>
    <row r="135" ht="14.25" customHeight="1">
      <c r="BG135" s="13"/>
      <c r="BH135" s="13"/>
    </row>
    <row r="136" ht="14.25" customHeight="1">
      <c r="BG136" s="13"/>
      <c r="BH136" s="13"/>
    </row>
    <row r="137" ht="14.25" customHeight="1">
      <c r="BG137" s="13"/>
      <c r="BH137" s="13"/>
    </row>
    <row r="138" ht="14.25" customHeight="1">
      <c r="BG138" s="13"/>
      <c r="BH138" s="13"/>
    </row>
    <row r="139" ht="14.25" customHeight="1">
      <c r="BG139" s="13"/>
      <c r="BH139" s="13"/>
    </row>
    <row r="140" ht="14.25" customHeight="1">
      <c r="BG140" s="13"/>
      <c r="BH140" s="13"/>
    </row>
    <row r="141" ht="14.25" customHeight="1">
      <c r="BG141" s="13"/>
      <c r="BH141" s="13"/>
    </row>
    <row r="142" ht="14.25" customHeight="1">
      <c r="BG142" s="13"/>
      <c r="BH142" s="13"/>
    </row>
    <row r="143" ht="14.25" customHeight="1">
      <c r="BG143" s="13"/>
      <c r="BH143" s="13"/>
    </row>
    <row r="144" ht="14.25" customHeight="1">
      <c r="BG144" s="13"/>
      <c r="BH144" s="13"/>
    </row>
    <row r="145" ht="14.25" customHeight="1">
      <c r="BG145" s="13"/>
      <c r="BH145" s="13"/>
    </row>
    <row r="146" ht="14.25" customHeight="1">
      <c r="BG146" s="13"/>
      <c r="BH146" s="13"/>
    </row>
    <row r="147" ht="14.25" customHeight="1">
      <c r="BG147" s="13"/>
      <c r="BH147" s="13"/>
    </row>
    <row r="148" ht="14.25" customHeight="1">
      <c r="BG148" s="13"/>
      <c r="BH148" s="13"/>
    </row>
    <row r="149" ht="14.25" customHeight="1">
      <c r="BG149" s="13"/>
      <c r="BH149" s="13"/>
    </row>
    <row r="150" ht="14.25" customHeight="1">
      <c r="BG150" s="13"/>
      <c r="BH150" s="13"/>
    </row>
    <row r="151" ht="14.25" customHeight="1">
      <c r="BG151" s="13"/>
      <c r="BH151" s="13"/>
    </row>
    <row r="152" ht="14.25" customHeight="1">
      <c r="BG152" s="13"/>
      <c r="BH152" s="13"/>
    </row>
    <row r="153" ht="14.25" customHeight="1">
      <c r="BG153" s="13"/>
      <c r="BH153" s="13"/>
    </row>
    <row r="154" ht="14.25" customHeight="1">
      <c r="BG154" s="13"/>
      <c r="BH154" s="13"/>
    </row>
    <row r="155" ht="14.25" customHeight="1">
      <c r="BG155" s="13"/>
      <c r="BH155" s="13"/>
    </row>
    <row r="156" ht="14.25" customHeight="1">
      <c r="BG156" s="13"/>
      <c r="BH156" s="13"/>
    </row>
    <row r="157" ht="14.25" customHeight="1">
      <c r="BG157" s="13"/>
      <c r="BH157" s="13"/>
    </row>
    <row r="158" ht="14.25" customHeight="1">
      <c r="BG158" s="13"/>
      <c r="BH158" s="13"/>
    </row>
    <row r="159" ht="14.25" customHeight="1">
      <c r="BG159" s="13"/>
      <c r="BH159" s="13"/>
    </row>
    <row r="160" ht="14.25" customHeight="1">
      <c r="BG160" s="13"/>
      <c r="BH160" s="13"/>
    </row>
    <row r="161" ht="14.25" customHeight="1">
      <c r="BG161" s="13"/>
      <c r="BH161" s="13"/>
    </row>
    <row r="162" ht="14.25" customHeight="1">
      <c r="BG162" s="13"/>
      <c r="BH162" s="13"/>
    </row>
    <row r="163" ht="14.25" customHeight="1">
      <c r="BG163" s="13"/>
      <c r="BH163" s="13"/>
    </row>
    <row r="164" ht="14.25" customHeight="1">
      <c r="BG164" s="13"/>
      <c r="BH164" s="13"/>
    </row>
    <row r="165" ht="14.25" customHeight="1">
      <c r="BG165" s="13"/>
      <c r="BH165" s="13"/>
    </row>
    <row r="166" ht="14.25" customHeight="1">
      <c r="BG166" s="13"/>
      <c r="BH166" s="13"/>
    </row>
    <row r="167" ht="14.25" customHeight="1">
      <c r="BG167" s="13"/>
      <c r="BH167" s="13"/>
    </row>
    <row r="168" ht="14.25" customHeight="1">
      <c r="BG168" s="13"/>
      <c r="BH168" s="13"/>
    </row>
    <row r="169" ht="14.25" customHeight="1">
      <c r="BG169" s="13"/>
      <c r="BH169" s="13"/>
    </row>
    <row r="170" ht="14.25" customHeight="1">
      <c r="BG170" s="13"/>
      <c r="BH170" s="13"/>
    </row>
    <row r="171" ht="14.25" customHeight="1">
      <c r="BG171" s="13"/>
      <c r="BH171" s="13"/>
    </row>
    <row r="172" ht="14.25" customHeight="1">
      <c r="BG172" s="13"/>
      <c r="BH172" s="13"/>
    </row>
    <row r="173" ht="14.25" customHeight="1">
      <c r="BG173" s="13"/>
      <c r="BH173" s="13"/>
    </row>
    <row r="174" ht="14.25" customHeight="1">
      <c r="BG174" s="13"/>
      <c r="BH174" s="13"/>
    </row>
    <row r="175" ht="14.25" customHeight="1">
      <c r="BG175" s="13"/>
      <c r="BH175" s="13"/>
    </row>
    <row r="176" ht="14.25" customHeight="1">
      <c r="BG176" s="13"/>
      <c r="BH176" s="13"/>
    </row>
    <row r="177" ht="14.25" customHeight="1">
      <c r="BG177" s="13"/>
      <c r="BH177" s="13"/>
    </row>
    <row r="178" ht="14.25" customHeight="1">
      <c r="BG178" s="13"/>
      <c r="BH178" s="13"/>
    </row>
    <row r="179" ht="14.25" customHeight="1">
      <c r="BG179" s="13"/>
      <c r="BH179" s="13"/>
    </row>
    <row r="180" ht="14.25" customHeight="1">
      <c r="BG180" s="13"/>
      <c r="BH180" s="13"/>
    </row>
    <row r="181" ht="14.25" customHeight="1">
      <c r="BG181" s="13"/>
      <c r="BH181" s="13"/>
    </row>
    <row r="182" ht="14.25" customHeight="1">
      <c r="BG182" s="13"/>
      <c r="BH182" s="13"/>
    </row>
    <row r="183" ht="14.25" customHeight="1">
      <c r="BG183" s="13"/>
      <c r="BH183" s="13"/>
    </row>
    <row r="184" ht="14.25" customHeight="1">
      <c r="BG184" s="13"/>
      <c r="BH184" s="13"/>
    </row>
    <row r="185" ht="14.25" customHeight="1">
      <c r="BG185" s="13"/>
      <c r="BH185" s="13"/>
    </row>
    <row r="186" ht="14.25" customHeight="1">
      <c r="BG186" s="13"/>
      <c r="BH186" s="13"/>
    </row>
    <row r="187" ht="14.25" customHeight="1">
      <c r="BG187" s="13"/>
      <c r="BH187" s="13"/>
    </row>
    <row r="188" ht="14.25" customHeight="1">
      <c r="BG188" s="13"/>
      <c r="BH188" s="13"/>
    </row>
    <row r="189" ht="14.25" customHeight="1">
      <c r="BG189" s="13"/>
      <c r="BH189" s="13"/>
    </row>
    <row r="190" ht="14.25" customHeight="1">
      <c r="BG190" s="13"/>
      <c r="BH190" s="13"/>
    </row>
    <row r="191" ht="14.25" customHeight="1">
      <c r="BG191" s="13"/>
      <c r="BH191" s="13"/>
    </row>
    <row r="192" ht="14.25" customHeight="1">
      <c r="BG192" s="13"/>
      <c r="BH192" s="13"/>
    </row>
    <row r="193" ht="14.25" customHeight="1">
      <c r="BG193" s="13"/>
      <c r="BH193" s="13"/>
    </row>
    <row r="194" ht="14.25" customHeight="1">
      <c r="BG194" s="13"/>
      <c r="BH194" s="13"/>
    </row>
    <row r="195" ht="14.25" customHeight="1">
      <c r="BG195" s="13"/>
      <c r="BH195" s="13"/>
    </row>
    <row r="196" ht="14.25" customHeight="1">
      <c r="BG196" s="13"/>
      <c r="BH196" s="13"/>
    </row>
    <row r="197" ht="14.25" customHeight="1">
      <c r="BG197" s="13"/>
      <c r="BH197" s="13"/>
    </row>
    <row r="198" ht="14.25" customHeight="1">
      <c r="BG198" s="13"/>
      <c r="BH198" s="13"/>
    </row>
    <row r="199" ht="14.25" customHeight="1">
      <c r="BG199" s="13"/>
      <c r="BH199" s="13"/>
    </row>
    <row r="200" ht="14.25" customHeight="1">
      <c r="BG200" s="13"/>
      <c r="BH200" s="13"/>
    </row>
    <row r="201" ht="14.25" customHeight="1">
      <c r="BG201" s="13"/>
      <c r="BH201" s="13"/>
    </row>
    <row r="202" ht="14.25" customHeight="1">
      <c r="BG202" s="13"/>
      <c r="BH202" s="13"/>
    </row>
    <row r="203" ht="14.25" customHeight="1">
      <c r="BG203" s="13"/>
      <c r="BH203" s="13"/>
    </row>
    <row r="204" ht="14.25" customHeight="1">
      <c r="BG204" s="13"/>
      <c r="BH204" s="13"/>
    </row>
    <row r="205" ht="14.25" customHeight="1">
      <c r="BG205" s="13"/>
      <c r="BH205" s="13"/>
    </row>
    <row r="206" ht="14.25" customHeight="1">
      <c r="BG206" s="13"/>
      <c r="BH206" s="13"/>
    </row>
    <row r="207" ht="14.25" customHeight="1">
      <c r="BG207" s="13"/>
      <c r="BH207" s="13"/>
    </row>
    <row r="208" ht="14.25" customHeight="1">
      <c r="BG208" s="13"/>
      <c r="BH208" s="13"/>
    </row>
    <row r="209" ht="14.25" customHeight="1">
      <c r="BG209" s="13"/>
      <c r="BH209" s="13"/>
    </row>
    <row r="210" ht="14.25" customHeight="1">
      <c r="BG210" s="13"/>
      <c r="BH210" s="13"/>
    </row>
    <row r="211" ht="14.25" customHeight="1">
      <c r="BG211" s="13"/>
      <c r="BH211" s="13"/>
    </row>
    <row r="212" ht="14.25" customHeight="1">
      <c r="BG212" s="13"/>
      <c r="BH212" s="13"/>
    </row>
    <row r="213" ht="14.25" customHeight="1">
      <c r="BG213" s="13"/>
      <c r="BH213" s="13"/>
    </row>
    <row r="214" ht="14.25" customHeight="1">
      <c r="BG214" s="13"/>
      <c r="BH214" s="13"/>
    </row>
    <row r="215" ht="14.25" customHeight="1">
      <c r="BG215" s="13"/>
      <c r="BH215" s="13"/>
    </row>
    <row r="216" ht="14.25" customHeight="1">
      <c r="BG216" s="13"/>
      <c r="BH216" s="13"/>
    </row>
    <row r="217" ht="14.25" customHeight="1">
      <c r="BG217" s="13"/>
      <c r="BH217" s="13"/>
    </row>
    <row r="218" ht="14.25" customHeight="1">
      <c r="BG218" s="13"/>
      <c r="BH218" s="13"/>
    </row>
    <row r="219" ht="14.25" customHeight="1">
      <c r="BG219" s="13"/>
      <c r="BH219" s="13"/>
    </row>
    <row r="220" ht="14.25" customHeight="1">
      <c r="BG220" s="13"/>
      <c r="BH220" s="13"/>
    </row>
    <row r="221" ht="14.25" customHeight="1">
      <c r="BG221" s="13"/>
      <c r="BH221" s="13"/>
    </row>
    <row r="222" ht="14.25" customHeight="1">
      <c r="BG222" s="13"/>
      <c r="BH222" s="13"/>
    </row>
    <row r="223" ht="14.25" customHeight="1">
      <c r="BG223" s="13"/>
      <c r="BH223" s="13"/>
    </row>
    <row r="224" ht="14.25" customHeight="1">
      <c r="BG224" s="13"/>
      <c r="BH224" s="13"/>
    </row>
    <row r="225" ht="14.25" customHeight="1">
      <c r="BG225" s="13"/>
      <c r="BH225" s="13"/>
    </row>
    <row r="226" ht="14.25" customHeight="1">
      <c r="BG226" s="13"/>
      <c r="BH226" s="13"/>
    </row>
    <row r="227" ht="14.25" customHeight="1">
      <c r="BG227" s="13"/>
      <c r="BH227" s="13"/>
    </row>
    <row r="228" ht="14.25" customHeight="1">
      <c r="BG228" s="13"/>
      <c r="BH228" s="13"/>
    </row>
    <row r="229" ht="14.25" customHeight="1">
      <c r="BG229" s="13"/>
      <c r="BH229" s="13"/>
    </row>
    <row r="230" ht="14.25" customHeight="1">
      <c r="BG230" s="13"/>
      <c r="BH230" s="13"/>
    </row>
    <row r="231" ht="14.25" customHeight="1">
      <c r="BG231" s="13"/>
      <c r="BH231" s="13"/>
    </row>
    <row r="232" ht="14.25" customHeight="1">
      <c r="BG232" s="13"/>
      <c r="BH232" s="13"/>
    </row>
    <row r="233" ht="14.25" customHeight="1">
      <c r="BG233" s="13"/>
      <c r="BH233" s="13"/>
    </row>
    <row r="234" ht="14.25" customHeight="1">
      <c r="BG234" s="13"/>
      <c r="BH234" s="13"/>
    </row>
    <row r="235" ht="14.25" customHeight="1">
      <c r="BG235" s="13"/>
      <c r="BH235" s="13"/>
    </row>
    <row r="236" ht="14.25" customHeight="1">
      <c r="BG236" s="13"/>
      <c r="BH236" s="13"/>
    </row>
    <row r="237" ht="14.25" customHeight="1">
      <c r="BG237" s="13"/>
      <c r="BH237" s="13"/>
    </row>
    <row r="238" ht="14.25" customHeight="1">
      <c r="BG238" s="13"/>
      <c r="BH238" s="13"/>
    </row>
    <row r="239" ht="14.25" customHeight="1">
      <c r="BG239" s="13"/>
      <c r="BH239" s="13"/>
    </row>
    <row r="240" ht="14.25" customHeight="1">
      <c r="BG240" s="13"/>
      <c r="BH240" s="13"/>
    </row>
    <row r="241" ht="14.25" customHeight="1">
      <c r="BG241" s="13"/>
      <c r="BH241" s="13"/>
    </row>
    <row r="242" ht="14.25" customHeight="1">
      <c r="BG242" s="13"/>
      <c r="BH242" s="13"/>
    </row>
    <row r="243" ht="14.25" customHeight="1">
      <c r="BG243" s="13"/>
      <c r="BH243" s="13"/>
    </row>
    <row r="244" ht="14.25" customHeight="1">
      <c r="BG244" s="13"/>
      <c r="BH244" s="13"/>
    </row>
    <row r="245" ht="14.25" customHeight="1">
      <c r="BG245" s="13"/>
      <c r="BH245" s="13"/>
    </row>
    <row r="246" ht="14.25" customHeight="1">
      <c r="BG246" s="13"/>
      <c r="BH246" s="13"/>
    </row>
    <row r="247" ht="14.25" customHeight="1">
      <c r="BG247" s="13"/>
      <c r="BH247" s="13"/>
    </row>
    <row r="248" ht="14.25" customHeight="1">
      <c r="BG248" s="13"/>
      <c r="BH248" s="13"/>
    </row>
    <row r="249" ht="14.25" customHeight="1">
      <c r="BG249" s="13"/>
      <c r="BH249" s="13"/>
    </row>
    <row r="250" ht="14.25" customHeight="1">
      <c r="BG250" s="13"/>
      <c r="BH250" s="13"/>
    </row>
    <row r="251" ht="14.25" customHeight="1">
      <c r="BG251" s="13"/>
      <c r="BH251" s="13"/>
    </row>
    <row r="252" ht="14.25" customHeight="1">
      <c r="BG252" s="13"/>
      <c r="BH252" s="13"/>
    </row>
    <row r="253" ht="14.25" customHeight="1">
      <c r="BG253" s="13"/>
      <c r="BH253" s="13"/>
    </row>
    <row r="254" ht="14.25" customHeight="1">
      <c r="BG254" s="13"/>
      <c r="BH254" s="13"/>
    </row>
    <row r="255" ht="14.25" customHeight="1">
      <c r="BG255" s="13"/>
      <c r="BH255" s="13"/>
    </row>
    <row r="256" ht="14.25" customHeight="1">
      <c r="BG256" s="13"/>
      <c r="BH256" s="13"/>
    </row>
    <row r="257" ht="14.25" customHeight="1">
      <c r="BG257" s="13"/>
      <c r="BH257" s="13"/>
    </row>
    <row r="258" ht="14.25" customHeight="1">
      <c r="BG258" s="13"/>
      <c r="BH258" s="13"/>
    </row>
    <row r="259" ht="14.25" customHeight="1">
      <c r="BG259" s="13"/>
      <c r="BH259" s="13"/>
    </row>
    <row r="260" ht="14.25" customHeight="1">
      <c r="BG260" s="13"/>
      <c r="BH260" s="13"/>
    </row>
    <row r="261" ht="14.25" customHeight="1">
      <c r="BG261" s="13"/>
      <c r="BH261" s="13"/>
    </row>
    <row r="262" ht="14.25" customHeight="1">
      <c r="BG262" s="13"/>
      <c r="BH262" s="13"/>
    </row>
    <row r="263" ht="14.25" customHeight="1">
      <c r="BG263" s="13"/>
      <c r="BH263" s="13"/>
    </row>
    <row r="264" ht="14.25" customHeight="1">
      <c r="BG264" s="13"/>
      <c r="BH264" s="13"/>
    </row>
    <row r="265" ht="14.25" customHeight="1">
      <c r="BG265" s="13"/>
      <c r="BH265" s="13"/>
    </row>
    <row r="266" ht="14.25" customHeight="1">
      <c r="BG266" s="13"/>
      <c r="BH266" s="13"/>
    </row>
    <row r="267" ht="14.25" customHeight="1">
      <c r="BG267" s="13"/>
      <c r="BH267" s="13"/>
    </row>
    <row r="268" ht="14.25" customHeight="1">
      <c r="BG268" s="13"/>
      <c r="BH268" s="13"/>
    </row>
    <row r="269" ht="14.25" customHeight="1">
      <c r="BG269" s="13"/>
      <c r="BH269" s="13"/>
    </row>
    <row r="270" ht="14.25" customHeight="1">
      <c r="BG270" s="13"/>
      <c r="BH270" s="13"/>
    </row>
    <row r="271" ht="14.25" customHeight="1">
      <c r="BG271" s="13"/>
      <c r="BH271" s="13"/>
    </row>
    <row r="272" ht="14.25" customHeight="1">
      <c r="BG272" s="13"/>
      <c r="BH272" s="13"/>
    </row>
    <row r="273" ht="14.25" customHeight="1">
      <c r="BG273" s="13"/>
      <c r="BH273" s="13"/>
    </row>
    <row r="274" ht="14.25" customHeight="1">
      <c r="BG274" s="13"/>
      <c r="BH274" s="13"/>
    </row>
    <row r="275" ht="14.25" customHeight="1">
      <c r="BG275" s="13"/>
      <c r="BH275" s="13"/>
    </row>
    <row r="276" ht="14.25" customHeight="1">
      <c r="BG276" s="13"/>
      <c r="BH276" s="13"/>
    </row>
    <row r="277" ht="14.25" customHeight="1">
      <c r="BG277" s="13"/>
      <c r="BH277" s="13"/>
    </row>
    <row r="278" ht="14.25" customHeight="1">
      <c r="BG278" s="13"/>
      <c r="BH278" s="13"/>
    </row>
    <row r="279" ht="14.25" customHeight="1">
      <c r="BG279" s="13"/>
      <c r="BH279" s="13"/>
    </row>
    <row r="280" ht="14.25" customHeight="1">
      <c r="BG280" s="13"/>
      <c r="BH280" s="13"/>
    </row>
    <row r="281" ht="14.25" customHeight="1">
      <c r="BG281" s="13"/>
      <c r="BH281" s="13"/>
    </row>
    <row r="282" ht="14.25" customHeight="1">
      <c r="BG282" s="13"/>
      <c r="BH282" s="13"/>
    </row>
    <row r="283" ht="14.25" customHeight="1">
      <c r="BG283" s="13"/>
      <c r="BH283" s="13"/>
    </row>
    <row r="284" ht="14.25" customHeight="1">
      <c r="BG284" s="13"/>
      <c r="BH284" s="13"/>
    </row>
    <row r="285" ht="14.25" customHeight="1">
      <c r="BG285" s="13"/>
      <c r="BH285" s="13"/>
    </row>
    <row r="286" ht="14.25" customHeight="1">
      <c r="BG286" s="13"/>
      <c r="BH286" s="13"/>
    </row>
    <row r="287" ht="14.25" customHeight="1">
      <c r="BG287" s="13"/>
      <c r="BH287" s="13"/>
    </row>
    <row r="288" ht="14.25" customHeight="1">
      <c r="BG288" s="13"/>
      <c r="BH288" s="13"/>
    </row>
    <row r="289" ht="14.25" customHeight="1">
      <c r="BG289" s="13"/>
      <c r="BH289" s="13"/>
    </row>
    <row r="290" ht="14.25" customHeight="1">
      <c r="BG290" s="13"/>
      <c r="BH290" s="13"/>
    </row>
    <row r="291" ht="14.25" customHeight="1">
      <c r="BG291" s="13"/>
      <c r="BH291" s="13"/>
    </row>
    <row r="292" ht="14.25" customHeight="1">
      <c r="BG292" s="13"/>
      <c r="BH292" s="13"/>
    </row>
    <row r="293" ht="14.25" customHeight="1">
      <c r="BG293" s="13"/>
      <c r="BH293" s="13"/>
    </row>
    <row r="294" ht="14.25" customHeight="1">
      <c r="BG294" s="13"/>
      <c r="BH294" s="13"/>
    </row>
    <row r="295" ht="14.25" customHeight="1">
      <c r="BG295" s="13"/>
      <c r="BH295" s="13"/>
    </row>
    <row r="296" ht="14.25" customHeight="1">
      <c r="BG296" s="13"/>
      <c r="BH296" s="13"/>
    </row>
    <row r="297" ht="14.25" customHeight="1">
      <c r="BG297" s="13"/>
      <c r="BH297" s="13"/>
    </row>
    <row r="298" ht="14.25" customHeight="1">
      <c r="BG298" s="13"/>
      <c r="BH298" s="13"/>
    </row>
    <row r="299" ht="14.25" customHeight="1">
      <c r="BG299" s="13"/>
      <c r="BH299" s="13"/>
    </row>
    <row r="300" ht="14.25" customHeight="1">
      <c r="BG300" s="13"/>
      <c r="BH300" s="13"/>
    </row>
    <row r="301" ht="14.25" customHeight="1">
      <c r="BG301" s="13"/>
      <c r="BH301" s="13"/>
    </row>
    <row r="302" ht="14.25" customHeight="1">
      <c r="BG302" s="13"/>
      <c r="BH302" s="13"/>
    </row>
    <row r="303" ht="14.25" customHeight="1">
      <c r="BG303" s="13"/>
      <c r="BH303" s="13"/>
    </row>
    <row r="304" ht="14.25" customHeight="1">
      <c r="BG304" s="13"/>
      <c r="BH304" s="13"/>
    </row>
    <row r="305" ht="14.25" customHeight="1">
      <c r="BG305" s="13"/>
      <c r="BH305" s="13"/>
    </row>
    <row r="306" ht="14.25" customHeight="1">
      <c r="BG306" s="13"/>
      <c r="BH306" s="13"/>
    </row>
    <row r="307" ht="14.25" customHeight="1">
      <c r="BG307" s="13"/>
      <c r="BH307" s="13"/>
    </row>
    <row r="308" ht="14.25" customHeight="1">
      <c r="BG308" s="13"/>
      <c r="BH308" s="13"/>
    </row>
    <row r="309" ht="14.25" customHeight="1">
      <c r="BG309" s="13"/>
      <c r="BH309" s="13"/>
    </row>
    <row r="310" ht="14.25" customHeight="1">
      <c r="BG310" s="13"/>
      <c r="BH310" s="13"/>
    </row>
    <row r="311" ht="14.25" customHeight="1">
      <c r="BG311" s="13"/>
      <c r="BH311" s="13"/>
    </row>
    <row r="312" ht="14.25" customHeight="1">
      <c r="BG312" s="13"/>
      <c r="BH312" s="13"/>
    </row>
    <row r="313" ht="14.25" customHeight="1">
      <c r="BG313" s="13"/>
      <c r="BH313" s="13"/>
    </row>
    <row r="314" ht="14.25" customHeight="1">
      <c r="BG314" s="13"/>
      <c r="BH314" s="13"/>
    </row>
    <row r="315" ht="14.25" customHeight="1">
      <c r="BG315" s="13"/>
      <c r="BH315" s="13"/>
    </row>
    <row r="316" ht="14.25" customHeight="1">
      <c r="BG316" s="13"/>
      <c r="BH316" s="13"/>
    </row>
    <row r="317" ht="14.25" customHeight="1">
      <c r="BG317" s="13"/>
      <c r="BH317" s="13"/>
    </row>
    <row r="318" ht="14.25" customHeight="1">
      <c r="BG318" s="13"/>
      <c r="BH318" s="13"/>
    </row>
    <row r="319" ht="14.25" customHeight="1">
      <c r="BG319" s="13"/>
      <c r="BH319" s="13"/>
    </row>
    <row r="320" ht="14.25" customHeight="1">
      <c r="BG320" s="13"/>
      <c r="BH320" s="13"/>
    </row>
    <row r="321" ht="14.25" customHeight="1">
      <c r="BG321" s="13"/>
      <c r="BH321" s="13"/>
    </row>
    <row r="322" ht="14.25" customHeight="1">
      <c r="BG322" s="13"/>
      <c r="BH322" s="13"/>
    </row>
    <row r="323" ht="14.25" customHeight="1">
      <c r="BG323" s="13"/>
      <c r="BH323" s="13"/>
    </row>
    <row r="324" ht="14.25" customHeight="1">
      <c r="BG324" s="13"/>
      <c r="BH324" s="13"/>
    </row>
    <row r="325" ht="14.25" customHeight="1">
      <c r="BG325" s="13"/>
      <c r="BH325" s="13"/>
    </row>
    <row r="326" ht="14.25" customHeight="1">
      <c r="BG326" s="13"/>
      <c r="BH326" s="13"/>
    </row>
    <row r="327" ht="14.25" customHeight="1">
      <c r="BG327" s="13"/>
      <c r="BH327" s="13"/>
    </row>
    <row r="328" ht="14.25" customHeight="1">
      <c r="BG328" s="13"/>
      <c r="BH328" s="13"/>
    </row>
    <row r="329" ht="14.25" customHeight="1">
      <c r="BG329" s="13"/>
      <c r="BH329" s="13"/>
    </row>
    <row r="330" ht="14.25" customHeight="1">
      <c r="BG330" s="13"/>
      <c r="BH330" s="13"/>
    </row>
    <row r="331" ht="14.25" customHeight="1">
      <c r="BG331" s="13"/>
      <c r="BH331" s="13"/>
    </row>
    <row r="332" ht="14.25" customHeight="1">
      <c r="BG332" s="13"/>
      <c r="BH332" s="13"/>
    </row>
    <row r="333" ht="14.25" customHeight="1">
      <c r="BG333" s="13"/>
      <c r="BH333" s="13"/>
    </row>
    <row r="334" ht="14.25" customHeight="1">
      <c r="BG334" s="13"/>
      <c r="BH334" s="13"/>
    </row>
    <row r="335" ht="14.25" customHeight="1">
      <c r="BG335" s="13"/>
      <c r="BH335" s="13"/>
    </row>
    <row r="336" ht="14.25" customHeight="1">
      <c r="BG336" s="13"/>
      <c r="BH336" s="13"/>
    </row>
    <row r="337" ht="14.25" customHeight="1">
      <c r="BG337" s="13"/>
      <c r="BH337" s="13"/>
    </row>
    <row r="338" ht="14.25" customHeight="1">
      <c r="BG338" s="13"/>
      <c r="BH338" s="13"/>
    </row>
    <row r="339" ht="14.25" customHeight="1">
      <c r="BG339" s="13"/>
      <c r="BH339" s="13"/>
    </row>
    <row r="340" ht="14.25" customHeight="1">
      <c r="BG340" s="13"/>
      <c r="BH340" s="13"/>
    </row>
    <row r="341" ht="14.25" customHeight="1">
      <c r="BG341" s="13"/>
      <c r="BH341" s="13"/>
    </row>
    <row r="342" ht="14.25" customHeight="1">
      <c r="BG342" s="13"/>
      <c r="BH342" s="13"/>
    </row>
    <row r="343" ht="14.25" customHeight="1">
      <c r="BG343" s="13"/>
      <c r="BH343" s="13"/>
    </row>
    <row r="344" ht="14.25" customHeight="1">
      <c r="BG344" s="13"/>
      <c r="BH344" s="13"/>
    </row>
    <row r="345" ht="14.25" customHeight="1">
      <c r="BG345" s="13"/>
      <c r="BH345" s="13"/>
    </row>
    <row r="346" ht="14.25" customHeight="1">
      <c r="BG346" s="13"/>
      <c r="BH346" s="13"/>
    </row>
    <row r="347" ht="14.25" customHeight="1">
      <c r="BG347" s="13"/>
      <c r="BH347" s="13"/>
    </row>
    <row r="348" ht="14.25" customHeight="1">
      <c r="BG348" s="13"/>
      <c r="BH348" s="13"/>
    </row>
    <row r="349" ht="14.25" customHeight="1">
      <c r="BG349" s="13"/>
      <c r="BH349" s="13"/>
    </row>
    <row r="350" ht="14.25" customHeight="1">
      <c r="BG350" s="13"/>
      <c r="BH350" s="13"/>
    </row>
    <row r="351" ht="14.25" customHeight="1">
      <c r="BG351" s="13"/>
      <c r="BH351" s="13"/>
    </row>
    <row r="352" ht="14.25" customHeight="1">
      <c r="BG352" s="13"/>
      <c r="BH352" s="13"/>
    </row>
    <row r="353" ht="14.25" customHeight="1">
      <c r="BG353" s="13"/>
      <c r="BH353" s="13"/>
    </row>
    <row r="354" ht="14.25" customHeight="1">
      <c r="BG354" s="13"/>
      <c r="BH354" s="13"/>
    </row>
    <row r="355" ht="14.25" customHeight="1">
      <c r="BG355" s="13"/>
      <c r="BH355" s="13"/>
    </row>
    <row r="356" ht="14.25" customHeight="1">
      <c r="BG356" s="13"/>
      <c r="BH356" s="13"/>
    </row>
    <row r="357" ht="14.25" customHeight="1">
      <c r="BG357" s="13"/>
      <c r="BH357" s="13"/>
    </row>
    <row r="358" ht="14.25" customHeight="1">
      <c r="BG358" s="13"/>
      <c r="BH358" s="13"/>
    </row>
    <row r="359" ht="14.25" customHeight="1">
      <c r="BG359" s="13"/>
      <c r="BH359" s="13"/>
    </row>
    <row r="360" ht="14.25" customHeight="1">
      <c r="BG360" s="13"/>
      <c r="BH360" s="13"/>
    </row>
    <row r="361" ht="14.25" customHeight="1">
      <c r="BG361" s="13"/>
      <c r="BH361" s="13"/>
    </row>
    <row r="362" ht="14.25" customHeight="1">
      <c r="BG362" s="13"/>
      <c r="BH362" s="13"/>
    </row>
    <row r="363" ht="14.25" customHeight="1">
      <c r="BG363" s="13"/>
      <c r="BH363" s="13"/>
    </row>
    <row r="364" ht="14.25" customHeight="1">
      <c r="BG364" s="13"/>
      <c r="BH364" s="13"/>
    </row>
    <row r="365" ht="14.25" customHeight="1">
      <c r="BG365" s="13"/>
      <c r="BH365" s="13"/>
    </row>
    <row r="366" ht="14.25" customHeight="1">
      <c r="BG366" s="13"/>
      <c r="BH366" s="13"/>
    </row>
    <row r="367" ht="14.25" customHeight="1">
      <c r="BG367" s="13"/>
      <c r="BH367" s="13"/>
    </row>
    <row r="368" ht="14.25" customHeight="1">
      <c r="BG368" s="13"/>
      <c r="BH368" s="13"/>
    </row>
    <row r="369" ht="14.25" customHeight="1">
      <c r="BG369" s="13"/>
      <c r="BH369" s="13"/>
    </row>
    <row r="370" ht="14.25" customHeight="1">
      <c r="BG370" s="13"/>
      <c r="BH370" s="13"/>
    </row>
    <row r="371" ht="14.25" customHeight="1">
      <c r="BG371" s="13"/>
      <c r="BH371" s="13"/>
    </row>
    <row r="372" ht="14.25" customHeight="1">
      <c r="BG372" s="13"/>
      <c r="BH372" s="13"/>
    </row>
    <row r="373" ht="14.25" customHeight="1">
      <c r="BG373" s="13"/>
      <c r="BH373" s="13"/>
    </row>
    <row r="374" ht="14.25" customHeight="1">
      <c r="BG374" s="13"/>
      <c r="BH374" s="13"/>
    </row>
    <row r="375" ht="14.25" customHeight="1">
      <c r="BG375" s="13"/>
      <c r="BH375" s="13"/>
    </row>
    <row r="376" ht="14.25" customHeight="1">
      <c r="BG376" s="13"/>
      <c r="BH376" s="13"/>
    </row>
    <row r="377" ht="14.25" customHeight="1">
      <c r="BG377" s="13"/>
      <c r="BH377" s="13"/>
    </row>
    <row r="378" ht="14.25" customHeight="1">
      <c r="BG378" s="13"/>
      <c r="BH378" s="13"/>
    </row>
    <row r="379" ht="14.25" customHeight="1">
      <c r="BG379" s="13"/>
      <c r="BH379" s="13"/>
    </row>
    <row r="380" ht="14.25" customHeight="1">
      <c r="BG380" s="13"/>
      <c r="BH380" s="13"/>
    </row>
    <row r="381" ht="14.25" customHeight="1">
      <c r="BG381" s="13"/>
      <c r="BH381" s="13"/>
    </row>
    <row r="382" ht="14.25" customHeight="1">
      <c r="BG382" s="13"/>
      <c r="BH382" s="13"/>
    </row>
    <row r="383" ht="14.25" customHeight="1">
      <c r="BG383" s="13"/>
      <c r="BH383" s="13"/>
    </row>
    <row r="384" ht="14.25" customHeight="1">
      <c r="BG384" s="13"/>
      <c r="BH384" s="13"/>
    </row>
    <row r="385" ht="14.25" customHeight="1">
      <c r="BG385" s="13"/>
      <c r="BH385" s="13"/>
    </row>
    <row r="386" ht="14.25" customHeight="1">
      <c r="BG386" s="13"/>
      <c r="BH386" s="13"/>
    </row>
    <row r="387" ht="14.25" customHeight="1">
      <c r="BG387" s="13"/>
      <c r="BH387" s="13"/>
    </row>
    <row r="388" ht="14.25" customHeight="1">
      <c r="BG388" s="13"/>
      <c r="BH388" s="13"/>
    </row>
    <row r="389" ht="14.25" customHeight="1">
      <c r="BG389" s="13"/>
      <c r="BH389" s="13"/>
    </row>
    <row r="390" ht="14.25" customHeight="1">
      <c r="BG390" s="13"/>
      <c r="BH390" s="13"/>
    </row>
    <row r="391" ht="14.25" customHeight="1">
      <c r="BG391" s="13"/>
      <c r="BH391" s="13"/>
    </row>
    <row r="392" ht="14.25" customHeight="1">
      <c r="BG392" s="13"/>
      <c r="BH392" s="13"/>
    </row>
    <row r="393" ht="14.25" customHeight="1">
      <c r="BG393" s="13"/>
      <c r="BH393" s="13"/>
    </row>
    <row r="394" ht="14.25" customHeight="1">
      <c r="BG394" s="13"/>
      <c r="BH394" s="13"/>
    </row>
    <row r="395" ht="14.25" customHeight="1">
      <c r="BG395" s="13"/>
      <c r="BH395" s="13"/>
    </row>
    <row r="396" ht="14.25" customHeight="1">
      <c r="BG396" s="13"/>
      <c r="BH396" s="13"/>
    </row>
    <row r="397" ht="14.25" customHeight="1">
      <c r="BG397" s="13"/>
      <c r="BH397" s="13"/>
    </row>
    <row r="398" ht="14.25" customHeight="1">
      <c r="BG398" s="13"/>
      <c r="BH398" s="13"/>
    </row>
    <row r="399" ht="14.25" customHeight="1">
      <c r="BG399" s="13"/>
      <c r="BH399" s="13"/>
    </row>
    <row r="400" ht="14.25" customHeight="1">
      <c r="BG400" s="13"/>
      <c r="BH400" s="13"/>
    </row>
    <row r="401" ht="14.25" customHeight="1">
      <c r="BG401" s="13"/>
      <c r="BH401" s="13"/>
    </row>
    <row r="402" ht="14.25" customHeight="1">
      <c r="BG402" s="13"/>
      <c r="BH402" s="13"/>
    </row>
    <row r="403" ht="14.25" customHeight="1">
      <c r="BG403" s="13"/>
      <c r="BH403" s="13"/>
    </row>
    <row r="404" ht="14.25" customHeight="1">
      <c r="BG404" s="13"/>
      <c r="BH404" s="13"/>
    </row>
    <row r="405" ht="14.25" customHeight="1">
      <c r="BG405" s="13"/>
      <c r="BH405" s="13"/>
    </row>
    <row r="406" ht="14.25" customHeight="1">
      <c r="BG406" s="13"/>
      <c r="BH406" s="13"/>
    </row>
    <row r="407" ht="14.25" customHeight="1">
      <c r="BG407" s="13"/>
      <c r="BH407" s="13"/>
    </row>
    <row r="408" ht="14.25" customHeight="1">
      <c r="BG408" s="13"/>
      <c r="BH408" s="13"/>
    </row>
    <row r="409" ht="14.25" customHeight="1">
      <c r="BG409" s="13"/>
      <c r="BH409" s="13"/>
    </row>
    <row r="410" ht="14.25" customHeight="1">
      <c r="BG410" s="13"/>
      <c r="BH410" s="13"/>
    </row>
    <row r="411" ht="14.25" customHeight="1">
      <c r="BG411" s="13"/>
      <c r="BH411" s="13"/>
    </row>
    <row r="412" ht="14.25" customHeight="1">
      <c r="BG412" s="13"/>
      <c r="BH412" s="13"/>
    </row>
    <row r="413" ht="14.25" customHeight="1">
      <c r="BG413" s="13"/>
      <c r="BH413" s="13"/>
    </row>
    <row r="414" ht="14.25" customHeight="1">
      <c r="BG414" s="13"/>
      <c r="BH414" s="13"/>
    </row>
    <row r="415" ht="14.25" customHeight="1">
      <c r="BG415" s="13"/>
      <c r="BH415" s="13"/>
    </row>
    <row r="416" ht="14.25" customHeight="1">
      <c r="BG416" s="13"/>
      <c r="BH416" s="13"/>
    </row>
    <row r="417" ht="14.25" customHeight="1">
      <c r="BG417" s="13"/>
      <c r="BH417" s="13"/>
    </row>
    <row r="418" ht="14.25" customHeight="1">
      <c r="BG418" s="13"/>
      <c r="BH418" s="13"/>
    </row>
    <row r="419" ht="14.25" customHeight="1">
      <c r="BG419" s="13"/>
      <c r="BH419" s="13"/>
    </row>
    <row r="420" ht="14.25" customHeight="1">
      <c r="BG420" s="13"/>
      <c r="BH420" s="13"/>
    </row>
    <row r="421" ht="14.25" customHeight="1">
      <c r="BG421" s="13"/>
      <c r="BH421" s="13"/>
    </row>
    <row r="422" ht="14.25" customHeight="1">
      <c r="BG422" s="13"/>
      <c r="BH422" s="13"/>
    </row>
    <row r="423" ht="14.25" customHeight="1">
      <c r="BG423" s="13"/>
      <c r="BH423" s="13"/>
    </row>
    <row r="424" ht="14.25" customHeight="1">
      <c r="BG424" s="13"/>
      <c r="BH424" s="13"/>
    </row>
    <row r="425" ht="14.25" customHeight="1">
      <c r="BG425" s="13"/>
      <c r="BH425" s="13"/>
    </row>
    <row r="426" ht="14.25" customHeight="1">
      <c r="BG426" s="13"/>
      <c r="BH426" s="13"/>
    </row>
    <row r="427" ht="14.25" customHeight="1">
      <c r="BG427" s="13"/>
      <c r="BH427" s="13"/>
    </row>
    <row r="428" ht="14.25" customHeight="1">
      <c r="BG428" s="13"/>
      <c r="BH428" s="13"/>
    </row>
    <row r="429" ht="14.25" customHeight="1">
      <c r="BG429" s="13"/>
      <c r="BH429" s="13"/>
    </row>
    <row r="430" ht="14.25" customHeight="1">
      <c r="BG430" s="13"/>
      <c r="BH430" s="13"/>
    </row>
    <row r="431" ht="14.25" customHeight="1">
      <c r="BG431" s="13"/>
      <c r="BH431" s="13"/>
    </row>
    <row r="432" ht="14.25" customHeight="1">
      <c r="BG432" s="13"/>
      <c r="BH432" s="13"/>
    </row>
    <row r="433" ht="14.25" customHeight="1">
      <c r="BG433" s="13"/>
      <c r="BH433" s="13"/>
    </row>
    <row r="434" ht="14.25" customHeight="1">
      <c r="BG434" s="13"/>
      <c r="BH434" s="13"/>
    </row>
    <row r="435" ht="14.25" customHeight="1">
      <c r="BG435" s="13"/>
      <c r="BH435" s="13"/>
    </row>
    <row r="436" ht="14.25" customHeight="1">
      <c r="BG436" s="13"/>
      <c r="BH436" s="13"/>
    </row>
    <row r="437" ht="14.25" customHeight="1">
      <c r="BG437" s="13"/>
      <c r="BH437" s="13"/>
    </row>
    <row r="438" ht="14.25" customHeight="1">
      <c r="BG438" s="13"/>
      <c r="BH438" s="13"/>
    </row>
    <row r="439" ht="14.25" customHeight="1">
      <c r="BG439" s="13"/>
      <c r="BH439" s="13"/>
    </row>
    <row r="440" ht="14.25" customHeight="1">
      <c r="BG440" s="13"/>
      <c r="BH440" s="13"/>
    </row>
    <row r="441" ht="14.25" customHeight="1">
      <c r="BG441" s="13"/>
      <c r="BH441" s="13"/>
    </row>
    <row r="442" ht="14.25" customHeight="1">
      <c r="BG442" s="13"/>
      <c r="BH442" s="13"/>
    </row>
    <row r="443" ht="14.25" customHeight="1">
      <c r="BG443" s="13"/>
      <c r="BH443" s="13"/>
    </row>
    <row r="444" ht="14.25" customHeight="1">
      <c r="BG444" s="13"/>
      <c r="BH444" s="13"/>
    </row>
    <row r="445" ht="14.25" customHeight="1">
      <c r="BG445" s="13"/>
      <c r="BH445" s="13"/>
    </row>
    <row r="446" ht="14.25" customHeight="1">
      <c r="BG446" s="13"/>
      <c r="BH446" s="13"/>
    </row>
    <row r="447" ht="14.25" customHeight="1">
      <c r="BG447" s="13"/>
      <c r="BH447" s="13"/>
    </row>
    <row r="448" ht="14.25" customHeight="1">
      <c r="BG448" s="13"/>
      <c r="BH448" s="13"/>
    </row>
    <row r="449" ht="14.25" customHeight="1">
      <c r="BG449" s="13"/>
      <c r="BH449" s="13"/>
    </row>
    <row r="450" ht="14.25" customHeight="1">
      <c r="BG450" s="13"/>
      <c r="BH450" s="13"/>
    </row>
    <row r="451" ht="14.25" customHeight="1">
      <c r="BG451" s="13"/>
      <c r="BH451" s="13"/>
    </row>
    <row r="452" ht="14.25" customHeight="1">
      <c r="BG452" s="13"/>
      <c r="BH452" s="13"/>
    </row>
    <row r="453" ht="14.25" customHeight="1">
      <c r="BG453" s="13"/>
      <c r="BH453" s="13"/>
    </row>
    <row r="454" ht="14.25" customHeight="1">
      <c r="BG454" s="13"/>
      <c r="BH454" s="13"/>
    </row>
    <row r="455" ht="14.25" customHeight="1">
      <c r="BG455" s="13"/>
      <c r="BH455" s="13"/>
    </row>
    <row r="456" ht="14.25" customHeight="1">
      <c r="BG456" s="13"/>
      <c r="BH456" s="13"/>
    </row>
    <row r="457" ht="14.25" customHeight="1">
      <c r="BG457" s="13"/>
      <c r="BH457" s="13"/>
    </row>
    <row r="458" ht="14.25" customHeight="1">
      <c r="BG458" s="13"/>
      <c r="BH458" s="13"/>
    </row>
    <row r="459" ht="14.25" customHeight="1">
      <c r="BG459" s="13"/>
      <c r="BH459" s="13"/>
    </row>
    <row r="460" ht="14.25" customHeight="1">
      <c r="BG460" s="13"/>
      <c r="BH460" s="13"/>
    </row>
    <row r="461" ht="14.25" customHeight="1">
      <c r="BG461" s="13"/>
      <c r="BH461" s="13"/>
    </row>
    <row r="462" ht="14.25" customHeight="1">
      <c r="BG462" s="13"/>
      <c r="BH462" s="13"/>
    </row>
    <row r="463" ht="14.25" customHeight="1">
      <c r="BG463" s="13"/>
      <c r="BH463" s="13"/>
    </row>
    <row r="464" ht="14.25" customHeight="1">
      <c r="BG464" s="13"/>
      <c r="BH464" s="13"/>
    </row>
    <row r="465" ht="14.25" customHeight="1">
      <c r="BG465" s="13"/>
      <c r="BH465" s="13"/>
    </row>
    <row r="466" ht="14.25" customHeight="1">
      <c r="BG466" s="13"/>
      <c r="BH466" s="13"/>
    </row>
    <row r="467" ht="14.25" customHeight="1">
      <c r="BG467" s="13"/>
      <c r="BH467" s="13"/>
    </row>
    <row r="468" ht="14.25" customHeight="1">
      <c r="BG468" s="13"/>
      <c r="BH468" s="13"/>
    </row>
    <row r="469" ht="14.25" customHeight="1">
      <c r="BG469" s="13"/>
      <c r="BH469" s="13"/>
    </row>
    <row r="470" ht="14.25" customHeight="1">
      <c r="BG470" s="13"/>
      <c r="BH470" s="13"/>
    </row>
    <row r="471" ht="14.25" customHeight="1">
      <c r="BG471" s="13"/>
      <c r="BH471" s="13"/>
    </row>
    <row r="472" ht="14.25" customHeight="1">
      <c r="BG472" s="13"/>
      <c r="BH472" s="13"/>
    </row>
    <row r="473" ht="14.25" customHeight="1">
      <c r="BG473" s="13"/>
      <c r="BH473" s="13"/>
    </row>
    <row r="474" ht="14.25" customHeight="1">
      <c r="BG474" s="13"/>
      <c r="BH474" s="13"/>
    </row>
    <row r="475" ht="14.25" customHeight="1">
      <c r="BG475" s="13"/>
      <c r="BH475" s="13"/>
    </row>
    <row r="476" ht="14.25" customHeight="1">
      <c r="BG476" s="13"/>
      <c r="BH476" s="13"/>
    </row>
    <row r="477" ht="14.25" customHeight="1">
      <c r="BG477" s="13"/>
      <c r="BH477" s="13"/>
    </row>
    <row r="478" ht="14.25" customHeight="1">
      <c r="BG478" s="13"/>
      <c r="BH478" s="13"/>
    </row>
    <row r="479" ht="14.25" customHeight="1">
      <c r="BG479" s="13"/>
      <c r="BH479" s="13"/>
    </row>
    <row r="480" ht="14.25" customHeight="1">
      <c r="BG480" s="13"/>
      <c r="BH480" s="13"/>
    </row>
    <row r="481" ht="14.25" customHeight="1">
      <c r="BG481" s="13"/>
      <c r="BH481" s="13"/>
    </row>
    <row r="482" ht="14.25" customHeight="1">
      <c r="BG482" s="13"/>
      <c r="BH482" s="13"/>
    </row>
    <row r="483" ht="14.25" customHeight="1">
      <c r="BG483" s="13"/>
      <c r="BH483" s="13"/>
    </row>
    <row r="484" ht="14.25" customHeight="1">
      <c r="BG484" s="13"/>
      <c r="BH484" s="13"/>
    </row>
    <row r="485" ht="14.25" customHeight="1">
      <c r="BG485" s="13"/>
      <c r="BH485" s="13"/>
    </row>
    <row r="486" ht="14.25" customHeight="1">
      <c r="BG486" s="13"/>
      <c r="BH486" s="13"/>
    </row>
    <row r="487" ht="14.25" customHeight="1">
      <c r="BG487" s="13"/>
      <c r="BH487" s="13"/>
    </row>
    <row r="488" ht="14.25" customHeight="1">
      <c r="BG488" s="13"/>
      <c r="BH488" s="13"/>
    </row>
    <row r="489" ht="14.25" customHeight="1">
      <c r="BG489" s="13"/>
      <c r="BH489" s="13"/>
    </row>
    <row r="490" ht="14.25" customHeight="1">
      <c r="BG490" s="13"/>
      <c r="BH490" s="13"/>
    </row>
    <row r="491" ht="14.25" customHeight="1">
      <c r="BG491" s="13"/>
      <c r="BH491" s="13"/>
    </row>
    <row r="492" ht="14.25" customHeight="1">
      <c r="BG492" s="13"/>
      <c r="BH492" s="13"/>
    </row>
    <row r="493" ht="14.25" customHeight="1">
      <c r="BG493" s="13"/>
      <c r="BH493" s="13"/>
    </row>
    <row r="494" ht="14.25" customHeight="1">
      <c r="BG494" s="13"/>
      <c r="BH494" s="13"/>
    </row>
    <row r="495" ht="14.25" customHeight="1">
      <c r="BG495" s="13"/>
      <c r="BH495" s="13"/>
    </row>
    <row r="496" ht="14.25" customHeight="1">
      <c r="BG496" s="13"/>
      <c r="BH496" s="13"/>
    </row>
    <row r="497" ht="14.25" customHeight="1">
      <c r="BG497" s="13"/>
      <c r="BH497" s="13"/>
    </row>
    <row r="498" ht="14.25" customHeight="1">
      <c r="BG498" s="13"/>
      <c r="BH498" s="13"/>
    </row>
    <row r="499" ht="14.25" customHeight="1">
      <c r="BG499" s="13"/>
      <c r="BH499" s="13"/>
    </row>
    <row r="500" ht="14.25" customHeight="1">
      <c r="BG500" s="13"/>
      <c r="BH500" s="13"/>
    </row>
    <row r="501" ht="14.25" customHeight="1">
      <c r="BG501" s="13"/>
      <c r="BH501" s="13"/>
    </row>
    <row r="502" ht="14.25" customHeight="1">
      <c r="BG502" s="13"/>
      <c r="BH502" s="13"/>
    </row>
    <row r="503" ht="14.25" customHeight="1">
      <c r="BG503" s="13"/>
      <c r="BH503" s="13"/>
    </row>
    <row r="504" ht="14.25" customHeight="1">
      <c r="BG504" s="13"/>
      <c r="BH504" s="13"/>
    </row>
    <row r="505" ht="14.25" customHeight="1">
      <c r="BG505" s="13"/>
      <c r="BH505" s="13"/>
    </row>
    <row r="506" ht="14.25" customHeight="1">
      <c r="BG506" s="13"/>
      <c r="BH506" s="13"/>
    </row>
    <row r="507" ht="14.25" customHeight="1">
      <c r="BG507" s="13"/>
      <c r="BH507" s="13"/>
    </row>
    <row r="508" ht="14.25" customHeight="1">
      <c r="BG508" s="13"/>
      <c r="BH508" s="13"/>
    </row>
    <row r="509" ht="14.25" customHeight="1">
      <c r="BG509" s="13"/>
      <c r="BH509" s="13"/>
    </row>
    <row r="510" ht="14.25" customHeight="1">
      <c r="BG510" s="13"/>
      <c r="BH510" s="13"/>
    </row>
    <row r="511" ht="14.25" customHeight="1">
      <c r="BG511" s="13"/>
      <c r="BH511" s="13"/>
    </row>
    <row r="512" ht="14.25" customHeight="1">
      <c r="BG512" s="13"/>
      <c r="BH512" s="13"/>
    </row>
    <row r="513" ht="14.25" customHeight="1">
      <c r="BG513" s="13"/>
      <c r="BH513" s="13"/>
    </row>
    <row r="514" ht="14.25" customHeight="1">
      <c r="BG514" s="13"/>
      <c r="BH514" s="13"/>
    </row>
    <row r="515" ht="14.25" customHeight="1">
      <c r="BG515" s="13"/>
      <c r="BH515" s="13"/>
    </row>
    <row r="516" ht="14.25" customHeight="1">
      <c r="BG516" s="13"/>
      <c r="BH516" s="13"/>
    </row>
    <row r="517" ht="14.25" customHeight="1">
      <c r="BG517" s="13"/>
      <c r="BH517" s="13"/>
    </row>
    <row r="518" ht="14.25" customHeight="1">
      <c r="BG518" s="13"/>
      <c r="BH518" s="13"/>
    </row>
    <row r="519" ht="14.25" customHeight="1">
      <c r="BG519" s="13"/>
      <c r="BH519" s="13"/>
    </row>
    <row r="520" ht="14.25" customHeight="1">
      <c r="BG520" s="13"/>
      <c r="BH520" s="13"/>
    </row>
    <row r="521" ht="14.25" customHeight="1">
      <c r="BG521" s="13"/>
      <c r="BH521" s="13"/>
    </row>
    <row r="522" ht="14.25" customHeight="1">
      <c r="BG522" s="13"/>
      <c r="BH522" s="13"/>
    </row>
    <row r="523" ht="14.25" customHeight="1">
      <c r="BG523" s="13"/>
      <c r="BH523" s="13"/>
    </row>
    <row r="524" ht="14.25" customHeight="1">
      <c r="BG524" s="13"/>
      <c r="BH524" s="13"/>
    </row>
    <row r="525" ht="14.25" customHeight="1">
      <c r="BG525" s="13"/>
      <c r="BH525" s="13"/>
    </row>
    <row r="526" ht="14.25" customHeight="1">
      <c r="BG526" s="13"/>
      <c r="BH526" s="13"/>
    </row>
    <row r="527" ht="14.25" customHeight="1">
      <c r="BG527" s="13"/>
      <c r="BH527" s="13"/>
    </row>
    <row r="528" ht="14.25" customHeight="1">
      <c r="BG528" s="13"/>
      <c r="BH528" s="13"/>
    </row>
    <row r="529" ht="14.25" customHeight="1">
      <c r="BG529" s="13"/>
      <c r="BH529" s="13"/>
    </row>
    <row r="530" ht="14.25" customHeight="1">
      <c r="BG530" s="13"/>
      <c r="BH530" s="13"/>
    </row>
    <row r="531" ht="14.25" customHeight="1">
      <c r="BG531" s="13"/>
      <c r="BH531" s="13"/>
    </row>
    <row r="532" ht="14.25" customHeight="1">
      <c r="BG532" s="13"/>
      <c r="BH532" s="13"/>
    </row>
    <row r="533" ht="14.25" customHeight="1">
      <c r="BG533" s="13"/>
      <c r="BH533" s="13"/>
    </row>
    <row r="534" ht="14.25" customHeight="1">
      <c r="BG534" s="13"/>
      <c r="BH534" s="13"/>
    </row>
    <row r="535" ht="14.25" customHeight="1">
      <c r="BG535" s="13"/>
      <c r="BH535" s="13"/>
    </row>
    <row r="536" ht="14.25" customHeight="1">
      <c r="BG536" s="13"/>
      <c r="BH536" s="13"/>
    </row>
    <row r="537" ht="14.25" customHeight="1">
      <c r="BG537" s="13"/>
      <c r="BH537" s="13"/>
    </row>
    <row r="538" ht="14.25" customHeight="1">
      <c r="BG538" s="13"/>
      <c r="BH538" s="13"/>
    </row>
    <row r="539" ht="14.25" customHeight="1">
      <c r="BG539" s="13"/>
      <c r="BH539" s="13"/>
    </row>
    <row r="540" ht="14.25" customHeight="1">
      <c r="BG540" s="13"/>
      <c r="BH540" s="13"/>
    </row>
    <row r="541" ht="14.25" customHeight="1">
      <c r="BG541" s="13"/>
      <c r="BH541" s="13"/>
    </row>
    <row r="542" ht="14.25" customHeight="1">
      <c r="BG542" s="13"/>
      <c r="BH542" s="13"/>
    </row>
    <row r="543" ht="14.25" customHeight="1">
      <c r="BG543" s="13"/>
      <c r="BH543" s="13"/>
    </row>
    <row r="544" ht="14.25" customHeight="1">
      <c r="BG544" s="13"/>
      <c r="BH544" s="13"/>
    </row>
    <row r="545" ht="14.25" customHeight="1">
      <c r="BG545" s="13"/>
      <c r="BH545" s="13"/>
    </row>
    <row r="546" ht="14.25" customHeight="1">
      <c r="BG546" s="13"/>
      <c r="BH546" s="13"/>
    </row>
    <row r="547" ht="14.25" customHeight="1">
      <c r="BG547" s="13"/>
      <c r="BH547" s="13"/>
    </row>
    <row r="548" ht="14.25" customHeight="1">
      <c r="BG548" s="13"/>
      <c r="BH548" s="13"/>
    </row>
    <row r="549" ht="14.25" customHeight="1">
      <c r="BG549" s="13"/>
      <c r="BH549" s="13"/>
    </row>
    <row r="550" ht="14.25" customHeight="1">
      <c r="BG550" s="13"/>
      <c r="BH550" s="13"/>
    </row>
    <row r="551" ht="14.25" customHeight="1">
      <c r="BG551" s="13"/>
      <c r="BH551" s="13"/>
    </row>
    <row r="552" ht="14.25" customHeight="1">
      <c r="BG552" s="13"/>
      <c r="BH552" s="13"/>
    </row>
    <row r="553" ht="14.25" customHeight="1">
      <c r="BG553" s="13"/>
      <c r="BH553" s="13"/>
    </row>
    <row r="554" ht="14.25" customHeight="1">
      <c r="BG554" s="13"/>
      <c r="BH554" s="13"/>
    </row>
    <row r="555" ht="14.25" customHeight="1">
      <c r="BG555" s="13"/>
      <c r="BH555" s="13"/>
    </row>
    <row r="556" ht="14.25" customHeight="1">
      <c r="BG556" s="13"/>
      <c r="BH556" s="13"/>
    </row>
    <row r="557" ht="14.25" customHeight="1">
      <c r="BG557" s="13"/>
      <c r="BH557" s="13"/>
    </row>
    <row r="558" ht="14.25" customHeight="1">
      <c r="BG558" s="13"/>
      <c r="BH558" s="13"/>
    </row>
    <row r="559" ht="14.25" customHeight="1">
      <c r="BG559" s="13"/>
      <c r="BH559" s="13"/>
    </row>
    <row r="560" ht="14.25" customHeight="1">
      <c r="BG560" s="13"/>
      <c r="BH560" s="13"/>
    </row>
    <row r="561" ht="14.25" customHeight="1">
      <c r="BG561" s="13"/>
      <c r="BH561" s="13"/>
    </row>
    <row r="562" ht="14.25" customHeight="1">
      <c r="BG562" s="13"/>
      <c r="BH562" s="13"/>
    </row>
    <row r="563" ht="14.25" customHeight="1">
      <c r="BG563" s="13"/>
      <c r="BH563" s="13"/>
    </row>
    <row r="564" ht="14.25" customHeight="1">
      <c r="BG564" s="13"/>
      <c r="BH564" s="13"/>
    </row>
    <row r="565" ht="14.25" customHeight="1">
      <c r="BG565" s="13"/>
      <c r="BH565" s="13"/>
    </row>
    <row r="566" ht="14.25" customHeight="1">
      <c r="BG566" s="13"/>
      <c r="BH566" s="13"/>
    </row>
    <row r="567" ht="14.25" customHeight="1">
      <c r="BG567" s="13"/>
      <c r="BH567" s="13"/>
    </row>
    <row r="568" ht="14.25" customHeight="1">
      <c r="BG568" s="13"/>
      <c r="BH568" s="13"/>
    </row>
    <row r="569" ht="14.25" customHeight="1">
      <c r="BG569" s="13"/>
      <c r="BH569" s="13"/>
    </row>
    <row r="570" ht="14.25" customHeight="1">
      <c r="BG570" s="13"/>
      <c r="BH570" s="13"/>
    </row>
    <row r="571" ht="14.25" customHeight="1">
      <c r="BG571" s="13"/>
      <c r="BH571" s="13"/>
    </row>
    <row r="572" ht="14.25" customHeight="1">
      <c r="BG572" s="13"/>
      <c r="BH572" s="13"/>
    </row>
    <row r="573" ht="14.25" customHeight="1">
      <c r="BG573" s="13"/>
      <c r="BH573" s="13"/>
    </row>
    <row r="574" ht="14.25" customHeight="1">
      <c r="BG574" s="13"/>
      <c r="BH574" s="13"/>
    </row>
    <row r="575" ht="14.25" customHeight="1">
      <c r="BG575" s="13"/>
      <c r="BH575" s="13"/>
    </row>
    <row r="576" ht="14.25" customHeight="1">
      <c r="BG576" s="13"/>
      <c r="BH576" s="13"/>
    </row>
    <row r="577" ht="14.25" customHeight="1">
      <c r="BG577" s="13"/>
      <c r="BH577" s="13"/>
    </row>
    <row r="578" ht="14.25" customHeight="1">
      <c r="BG578" s="13"/>
      <c r="BH578" s="13"/>
    </row>
    <row r="579" ht="14.25" customHeight="1">
      <c r="BG579" s="13"/>
      <c r="BH579" s="13"/>
    </row>
    <row r="580" ht="14.25" customHeight="1">
      <c r="BG580" s="13"/>
      <c r="BH580" s="13"/>
    </row>
    <row r="581" ht="14.25" customHeight="1">
      <c r="BG581" s="13"/>
      <c r="BH581" s="13"/>
    </row>
    <row r="582" ht="14.25" customHeight="1">
      <c r="BG582" s="13"/>
      <c r="BH582" s="13"/>
    </row>
    <row r="583" ht="14.25" customHeight="1">
      <c r="BG583" s="13"/>
      <c r="BH583" s="13"/>
    </row>
    <row r="584" ht="14.25" customHeight="1">
      <c r="BG584" s="13"/>
      <c r="BH584" s="13"/>
    </row>
    <row r="585" ht="14.25" customHeight="1">
      <c r="BG585" s="13"/>
      <c r="BH585" s="13"/>
    </row>
    <row r="586" ht="14.25" customHeight="1">
      <c r="BG586" s="13"/>
      <c r="BH586" s="13"/>
    </row>
    <row r="587" ht="14.25" customHeight="1">
      <c r="BG587" s="13"/>
      <c r="BH587" s="13"/>
    </row>
    <row r="588" ht="14.25" customHeight="1">
      <c r="BG588" s="13"/>
      <c r="BH588" s="13"/>
    </row>
    <row r="589" ht="14.25" customHeight="1">
      <c r="BG589" s="13"/>
      <c r="BH589" s="13"/>
    </row>
    <row r="590" ht="14.25" customHeight="1">
      <c r="BG590" s="13"/>
      <c r="BH590" s="13"/>
    </row>
    <row r="591" ht="14.25" customHeight="1">
      <c r="BG591" s="13"/>
      <c r="BH591" s="13"/>
    </row>
    <row r="592" ht="14.25" customHeight="1">
      <c r="BG592" s="13"/>
      <c r="BH592" s="13"/>
    </row>
    <row r="593" ht="14.25" customHeight="1">
      <c r="BG593" s="13"/>
      <c r="BH593" s="13"/>
    </row>
    <row r="594" ht="14.25" customHeight="1">
      <c r="BG594" s="13"/>
      <c r="BH594" s="13"/>
    </row>
    <row r="595" ht="14.25" customHeight="1">
      <c r="BG595" s="13"/>
      <c r="BH595" s="13"/>
    </row>
    <row r="596" ht="14.25" customHeight="1">
      <c r="BG596" s="13"/>
      <c r="BH596" s="13"/>
    </row>
    <row r="597" ht="14.25" customHeight="1">
      <c r="BG597" s="13"/>
      <c r="BH597" s="13"/>
    </row>
    <row r="598" ht="14.25" customHeight="1">
      <c r="BG598" s="13"/>
      <c r="BH598" s="13"/>
    </row>
    <row r="599" ht="14.25" customHeight="1">
      <c r="BG599" s="13"/>
      <c r="BH599" s="13"/>
    </row>
    <row r="600" ht="14.25" customHeight="1">
      <c r="BG600" s="13"/>
      <c r="BH600" s="13"/>
    </row>
    <row r="601" ht="14.25" customHeight="1">
      <c r="BG601" s="13"/>
      <c r="BH601" s="13"/>
    </row>
    <row r="602" ht="14.25" customHeight="1">
      <c r="BG602" s="13"/>
      <c r="BH602" s="13"/>
    </row>
    <row r="603" ht="14.25" customHeight="1">
      <c r="BG603" s="13"/>
      <c r="BH603" s="13"/>
    </row>
    <row r="604" ht="14.25" customHeight="1">
      <c r="BG604" s="13"/>
      <c r="BH604" s="13"/>
    </row>
    <row r="605" ht="14.25" customHeight="1">
      <c r="BG605" s="13"/>
      <c r="BH605" s="13"/>
    </row>
    <row r="606" ht="14.25" customHeight="1">
      <c r="BG606" s="13"/>
      <c r="BH606" s="13"/>
    </row>
    <row r="607" ht="14.25" customHeight="1">
      <c r="BG607" s="13"/>
      <c r="BH607" s="13"/>
    </row>
    <row r="608" ht="14.25" customHeight="1">
      <c r="BG608" s="13"/>
      <c r="BH608" s="13"/>
    </row>
    <row r="609" ht="14.25" customHeight="1">
      <c r="BG609" s="13"/>
      <c r="BH609" s="13"/>
    </row>
    <row r="610" ht="14.25" customHeight="1">
      <c r="BG610" s="13"/>
      <c r="BH610" s="13"/>
    </row>
    <row r="611" ht="14.25" customHeight="1">
      <c r="BG611" s="13"/>
      <c r="BH611" s="13"/>
    </row>
    <row r="612" ht="14.25" customHeight="1">
      <c r="BG612" s="13"/>
      <c r="BH612" s="13"/>
    </row>
    <row r="613" ht="14.25" customHeight="1">
      <c r="BG613" s="13"/>
      <c r="BH613" s="13"/>
    </row>
    <row r="614" ht="14.25" customHeight="1">
      <c r="BG614" s="13"/>
      <c r="BH614" s="13"/>
    </row>
    <row r="615" ht="14.25" customHeight="1">
      <c r="BG615" s="13"/>
      <c r="BH615" s="13"/>
    </row>
    <row r="616" ht="14.25" customHeight="1">
      <c r="BG616" s="13"/>
      <c r="BH616" s="13"/>
    </row>
    <row r="617" ht="14.25" customHeight="1">
      <c r="BG617" s="13"/>
      <c r="BH617" s="13"/>
    </row>
    <row r="618" ht="14.25" customHeight="1">
      <c r="BG618" s="13"/>
      <c r="BH618" s="13"/>
    </row>
    <row r="619" ht="14.25" customHeight="1">
      <c r="BG619" s="13"/>
      <c r="BH619" s="13"/>
    </row>
    <row r="620" ht="14.25" customHeight="1">
      <c r="BG620" s="13"/>
      <c r="BH620" s="13"/>
    </row>
    <row r="621" ht="14.25" customHeight="1">
      <c r="BG621" s="13"/>
      <c r="BH621" s="13"/>
    </row>
    <row r="622" ht="14.25" customHeight="1">
      <c r="BG622" s="13"/>
      <c r="BH622" s="13"/>
    </row>
    <row r="623" ht="14.25" customHeight="1">
      <c r="BG623" s="13"/>
      <c r="BH623" s="13"/>
    </row>
    <row r="624" ht="14.25" customHeight="1">
      <c r="BG624" s="13"/>
      <c r="BH624" s="13"/>
    </row>
    <row r="625" ht="14.25" customHeight="1">
      <c r="BG625" s="13"/>
      <c r="BH625" s="13"/>
    </row>
    <row r="626" ht="14.25" customHeight="1">
      <c r="BG626" s="13"/>
      <c r="BH626" s="13"/>
    </row>
    <row r="627" ht="14.25" customHeight="1">
      <c r="BG627" s="13"/>
      <c r="BH627" s="13"/>
    </row>
    <row r="628" ht="14.25" customHeight="1">
      <c r="BG628" s="13"/>
      <c r="BH628" s="13"/>
    </row>
    <row r="629" ht="14.25" customHeight="1">
      <c r="BG629" s="13"/>
      <c r="BH629" s="13"/>
    </row>
    <row r="630" ht="14.25" customHeight="1">
      <c r="BG630" s="13"/>
      <c r="BH630" s="13"/>
    </row>
    <row r="631" ht="14.25" customHeight="1">
      <c r="BG631" s="13"/>
      <c r="BH631" s="13"/>
    </row>
    <row r="632" ht="14.25" customHeight="1">
      <c r="BG632" s="13"/>
      <c r="BH632" s="13"/>
    </row>
    <row r="633" ht="14.25" customHeight="1">
      <c r="BG633" s="13"/>
      <c r="BH633" s="13"/>
    </row>
    <row r="634" ht="14.25" customHeight="1">
      <c r="BG634" s="13"/>
      <c r="BH634" s="13"/>
    </row>
    <row r="635" ht="14.25" customHeight="1">
      <c r="BG635" s="13"/>
      <c r="BH635" s="13"/>
    </row>
    <row r="636" ht="14.25" customHeight="1">
      <c r="BG636" s="13"/>
      <c r="BH636" s="13"/>
    </row>
    <row r="637" ht="14.25" customHeight="1">
      <c r="BG637" s="13"/>
      <c r="BH637" s="13"/>
    </row>
    <row r="638" ht="14.25" customHeight="1">
      <c r="BG638" s="13"/>
      <c r="BH638" s="13"/>
    </row>
    <row r="639" ht="14.25" customHeight="1">
      <c r="BG639" s="13"/>
      <c r="BH639" s="13"/>
    </row>
    <row r="640" ht="14.25" customHeight="1">
      <c r="BG640" s="13"/>
      <c r="BH640" s="13"/>
    </row>
    <row r="641" ht="14.25" customHeight="1">
      <c r="BG641" s="13"/>
      <c r="BH641" s="13"/>
    </row>
    <row r="642" ht="14.25" customHeight="1">
      <c r="BG642" s="13"/>
      <c r="BH642" s="13"/>
    </row>
    <row r="643" ht="14.25" customHeight="1">
      <c r="BG643" s="13"/>
      <c r="BH643" s="13"/>
    </row>
    <row r="644" ht="14.25" customHeight="1">
      <c r="BG644" s="13"/>
      <c r="BH644" s="13"/>
    </row>
    <row r="645" ht="14.25" customHeight="1">
      <c r="BG645" s="13"/>
      <c r="BH645" s="13"/>
    </row>
    <row r="646" ht="14.25" customHeight="1">
      <c r="BG646" s="13"/>
      <c r="BH646" s="13"/>
    </row>
    <row r="647" ht="14.25" customHeight="1">
      <c r="BG647" s="13"/>
      <c r="BH647" s="13"/>
    </row>
    <row r="648" ht="14.25" customHeight="1">
      <c r="BG648" s="13"/>
      <c r="BH648" s="13"/>
    </row>
    <row r="649" ht="14.25" customHeight="1">
      <c r="BG649" s="13"/>
      <c r="BH649" s="13"/>
    </row>
    <row r="650" ht="14.25" customHeight="1">
      <c r="BG650" s="13"/>
      <c r="BH650" s="13"/>
    </row>
    <row r="651" ht="14.25" customHeight="1">
      <c r="BG651" s="13"/>
      <c r="BH651" s="13"/>
    </row>
    <row r="652" ht="14.25" customHeight="1">
      <c r="BG652" s="13"/>
      <c r="BH652" s="13"/>
    </row>
    <row r="653" ht="14.25" customHeight="1">
      <c r="BG653" s="13"/>
      <c r="BH653" s="13"/>
    </row>
    <row r="654" ht="14.25" customHeight="1">
      <c r="BG654" s="13"/>
      <c r="BH654" s="13"/>
    </row>
    <row r="655" ht="14.25" customHeight="1">
      <c r="BG655" s="13"/>
      <c r="BH655" s="13"/>
    </row>
    <row r="656" ht="14.25" customHeight="1">
      <c r="BG656" s="13"/>
      <c r="BH656" s="13"/>
    </row>
    <row r="657" ht="14.25" customHeight="1">
      <c r="BG657" s="13"/>
      <c r="BH657" s="13"/>
    </row>
    <row r="658" ht="14.25" customHeight="1">
      <c r="BG658" s="13"/>
      <c r="BH658" s="13"/>
    </row>
    <row r="659" ht="14.25" customHeight="1">
      <c r="BG659" s="13"/>
      <c r="BH659" s="13"/>
    </row>
    <row r="660" ht="14.25" customHeight="1">
      <c r="BG660" s="13"/>
      <c r="BH660" s="13"/>
    </row>
    <row r="661" ht="14.25" customHeight="1">
      <c r="BG661" s="13"/>
      <c r="BH661" s="13"/>
    </row>
    <row r="662" ht="14.25" customHeight="1">
      <c r="BG662" s="13"/>
      <c r="BH662" s="13"/>
    </row>
    <row r="663" ht="14.25" customHeight="1">
      <c r="BG663" s="13"/>
      <c r="BH663" s="13"/>
    </row>
    <row r="664" ht="14.25" customHeight="1">
      <c r="BG664" s="13"/>
      <c r="BH664" s="13"/>
    </row>
    <row r="665" ht="14.25" customHeight="1">
      <c r="BG665" s="13"/>
      <c r="BH665" s="13"/>
    </row>
    <row r="666" ht="14.25" customHeight="1">
      <c r="BG666" s="13"/>
      <c r="BH666" s="13"/>
    </row>
    <row r="667" ht="14.25" customHeight="1">
      <c r="BG667" s="13"/>
      <c r="BH667" s="13"/>
    </row>
    <row r="668" ht="14.25" customHeight="1">
      <c r="BG668" s="13"/>
      <c r="BH668" s="13"/>
    </row>
    <row r="669" ht="14.25" customHeight="1">
      <c r="BG669" s="13"/>
      <c r="BH669" s="13"/>
    </row>
    <row r="670" ht="14.25" customHeight="1">
      <c r="BG670" s="13"/>
      <c r="BH670" s="13"/>
    </row>
    <row r="671" ht="14.25" customHeight="1">
      <c r="BG671" s="13"/>
      <c r="BH671" s="13"/>
    </row>
    <row r="672" ht="14.25" customHeight="1">
      <c r="BG672" s="13"/>
      <c r="BH672" s="13"/>
    </row>
    <row r="673" ht="14.25" customHeight="1">
      <c r="BG673" s="13"/>
      <c r="BH673" s="13"/>
    </row>
    <row r="674" ht="14.25" customHeight="1">
      <c r="BG674" s="13"/>
      <c r="BH674" s="13"/>
    </row>
    <row r="675" ht="14.25" customHeight="1">
      <c r="BG675" s="13"/>
      <c r="BH675" s="13"/>
    </row>
    <row r="676" ht="14.25" customHeight="1">
      <c r="BG676" s="13"/>
      <c r="BH676" s="13"/>
    </row>
    <row r="677" ht="14.25" customHeight="1">
      <c r="BG677" s="13"/>
      <c r="BH677" s="13"/>
    </row>
    <row r="678" ht="14.25" customHeight="1">
      <c r="BG678" s="13"/>
      <c r="BH678" s="13"/>
    </row>
    <row r="679" ht="14.25" customHeight="1">
      <c r="BG679" s="13"/>
      <c r="BH679" s="13"/>
    </row>
    <row r="680" ht="14.25" customHeight="1">
      <c r="BG680" s="13"/>
      <c r="BH680" s="13"/>
    </row>
    <row r="681" ht="14.25" customHeight="1">
      <c r="BG681" s="13"/>
      <c r="BH681" s="13"/>
    </row>
    <row r="682" ht="14.25" customHeight="1">
      <c r="BG682" s="13"/>
      <c r="BH682" s="13"/>
    </row>
    <row r="683" ht="14.25" customHeight="1">
      <c r="BG683" s="13"/>
      <c r="BH683" s="13"/>
    </row>
    <row r="684" ht="14.25" customHeight="1">
      <c r="BG684" s="13"/>
      <c r="BH684" s="13"/>
    </row>
    <row r="685" ht="14.25" customHeight="1">
      <c r="BG685" s="13"/>
      <c r="BH685" s="13"/>
    </row>
    <row r="686" ht="14.25" customHeight="1">
      <c r="BG686" s="13"/>
      <c r="BH686" s="13"/>
    </row>
    <row r="687" ht="14.25" customHeight="1">
      <c r="BG687" s="13"/>
      <c r="BH687" s="13"/>
    </row>
    <row r="688" ht="14.25" customHeight="1">
      <c r="BG688" s="13"/>
      <c r="BH688" s="13"/>
    </row>
    <row r="689" ht="14.25" customHeight="1">
      <c r="BG689" s="13"/>
      <c r="BH689" s="13"/>
    </row>
    <row r="690" ht="14.25" customHeight="1">
      <c r="BG690" s="13"/>
      <c r="BH690" s="13"/>
    </row>
    <row r="691" ht="14.25" customHeight="1">
      <c r="BG691" s="13"/>
      <c r="BH691" s="13"/>
    </row>
    <row r="692" ht="14.25" customHeight="1">
      <c r="BG692" s="13"/>
      <c r="BH692" s="13"/>
    </row>
    <row r="693" ht="14.25" customHeight="1">
      <c r="BG693" s="13"/>
      <c r="BH693" s="13"/>
    </row>
    <row r="694" ht="14.25" customHeight="1">
      <c r="BG694" s="13"/>
      <c r="BH694" s="13"/>
    </row>
    <row r="695" ht="14.25" customHeight="1">
      <c r="BG695" s="13"/>
      <c r="BH695" s="13"/>
    </row>
    <row r="696" ht="14.25" customHeight="1">
      <c r="BG696" s="13"/>
      <c r="BH696" s="13"/>
    </row>
    <row r="697" ht="14.25" customHeight="1">
      <c r="BG697" s="13"/>
      <c r="BH697" s="13"/>
    </row>
    <row r="698" ht="14.25" customHeight="1">
      <c r="BG698" s="13"/>
      <c r="BH698" s="13"/>
    </row>
    <row r="699" ht="14.25" customHeight="1">
      <c r="BG699" s="13"/>
      <c r="BH699" s="13"/>
    </row>
    <row r="700" ht="14.25" customHeight="1">
      <c r="BG700" s="13"/>
      <c r="BH700" s="13"/>
    </row>
    <row r="701" ht="14.25" customHeight="1">
      <c r="BG701" s="13"/>
      <c r="BH701" s="13"/>
    </row>
    <row r="702" ht="14.25" customHeight="1">
      <c r="BG702" s="13"/>
      <c r="BH702" s="13"/>
    </row>
    <row r="703" ht="14.25" customHeight="1">
      <c r="BG703" s="13"/>
      <c r="BH703" s="13"/>
    </row>
    <row r="704" ht="14.25" customHeight="1">
      <c r="BG704" s="13"/>
      <c r="BH704" s="13"/>
    </row>
    <row r="705" ht="14.25" customHeight="1">
      <c r="BG705" s="13"/>
      <c r="BH705" s="13"/>
    </row>
    <row r="706" ht="14.25" customHeight="1">
      <c r="BG706" s="13"/>
      <c r="BH706" s="13"/>
    </row>
    <row r="707" ht="14.25" customHeight="1">
      <c r="BG707" s="13"/>
      <c r="BH707" s="13"/>
    </row>
    <row r="708" ht="14.25" customHeight="1">
      <c r="BG708" s="13"/>
      <c r="BH708" s="13"/>
    </row>
    <row r="709" ht="14.25" customHeight="1">
      <c r="BG709" s="13"/>
      <c r="BH709" s="13"/>
    </row>
    <row r="710" ht="14.25" customHeight="1">
      <c r="BG710" s="13"/>
      <c r="BH710" s="13"/>
    </row>
    <row r="711" ht="14.25" customHeight="1">
      <c r="BG711" s="13"/>
      <c r="BH711" s="13"/>
    </row>
    <row r="712" ht="14.25" customHeight="1">
      <c r="BG712" s="13"/>
      <c r="BH712" s="13"/>
    </row>
    <row r="713" ht="14.25" customHeight="1">
      <c r="BG713" s="13"/>
      <c r="BH713" s="13"/>
    </row>
    <row r="714" ht="14.25" customHeight="1">
      <c r="BG714" s="13"/>
      <c r="BH714" s="13"/>
    </row>
    <row r="715" ht="14.25" customHeight="1">
      <c r="BG715" s="13"/>
      <c r="BH715" s="13"/>
    </row>
    <row r="716" ht="14.25" customHeight="1">
      <c r="BG716" s="13"/>
      <c r="BH716" s="13"/>
    </row>
    <row r="717" ht="14.25" customHeight="1">
      <c r="BG717" s="13"/>
      <c r="BH717" s="13"/>
    </row>
    <row r="718" ht="14.25" customHeight="1">
      <c r="BG718" s="13"/>
      <c r="BH718" s="13"/>
    </row>
    <row r="719" ht="14.25" customHeight="1">
      <c r="BG719" s="13"/>
      <c r="BH719" s="13"/>
    </row>
    <row r="720" ht="14.25" customHeight="1">
      <c r="BG720" s="13"/>
      <c r="BH720" s="13"/>
    </row>
    <row r="721" ht="14.25" customHeight="1">
      <c r="BG721" s="13"/>
      <c r="BH721" s="13"/>
    </row>
    <row r="722" ht="14.25" customHeight="1">
      <c r="BG722" s="13"/>
      <c r="BH722" s="13"/>
    </row>
    <row r="723" ht="14.25" customHeight="1">
      <c r="BG723" s="13"/>
      <c r="BH723" s="13"/>
    </row>
    <row r="724" ht="14.25" customHeight="1">
      <c r="BG724" s="13"/>
      <c r="BH724" s="13"/>
    </row>
    <row r="725" ht="14.25" customHeight="1">
      <c r="BG725" s="13"/>
      <c r="BH725" s="13"/>
    </row>
    <row r="726" ht="14.25" customHeight="1">
      <c r="BG726" s="13"/>
      <c r="BH726" s="13"/>
    </row>
    <row r="727" ht="14.25" customHeight="1">
      <c r="BG727" s="13"/>
      <c r="BH727" s="13"/>
    </row>
    <row r="728" ht="14.25" customHeight="1">
      <c r="BG728" s="13"/>
      <c r="BH728" s="13"/>
    </row>
    <row r="729" ht="14.25" customHeight="1">
      <c r="BG729" s="13"/>
      <c r="BH729" s="13"/>
    </row>
    <row r="730" ht="14.25" customHeight="1">
      <c r="BG730" s="13"/>
      <c r="BH730" s="13"/>
    </row>
    <row r="731" ht="14.25" customHeight="1">
      <c r="BG731" s="13"/>
      <c r="BH731" s="13"/>
    </row>
    <row r="732" ht="14.25" customHeight="1">
      <c r="BG732" s="13"/>
      <c r="BH732" s="13"/>
    </row>
    <row r="733" ht="14.25" customHeight="1">
      <c r="BG733" s="13"/>
      <c r="BH733" s="13"/>
    </row>
    <row r="734" ht="14.25" customHeight="1">
      <c r="BG734" s="13"/>
      <c r="BH734" s="13"/>
    </row>
    <row r="735" ht="14.25" customHeight="1">
      <c r="BG735" s="13"/>
      <c r="BH735" s="13"/>
    </row>
    <row r="736" ht="14.25" customHeight="1">
      <c r="BG736" s="13"/>
      <c r="BH736" s="13"/>
    </row>
    <row r="737" ht="14.25" customHeight="1">
      <c r="BG737" s="13"/>
      <c r="BH737" s="13"/>
    </row>
    <row r="738" ht="14.25" customHeight="1">
      <c r="BG738" s="13"/>
      <c r="BH738" s="13"/>
    </row>
    <row r="739" ht="14.25" customHeight="1">
      <c r="BG739" s="13"/>
      <c r="BH739" s="13"/>
    </row>
    <row r="740" ht="14.25" customHeight="1">
      <c r="BG740" s="13"/>
      <c r="BH740" s="13"/>
    </row>
    <row r="741" ht="14.25" customHeight="1">
      <c r="BG741" s="13"/>
      <c r="BH741" s="13"/>
    </row>
    <row r="742" ht="14.25" customHeight="1">
      <c r="BG742" s="13"/>
      <c r="BH742" s="13"/>
    </row>
    <row r="743" ht="14.25" customHeight="1">
      <c r="BG743" s="13"/>
      <c r="BH743" s="13"/>
    </row>
    <row r="744" ht="14.25" customHeight="1">
      <c r="BG744" s="13"/>
      <c r="BH744" s="13"/>
    </row>
    <row r="745" ht="14.25" customHeight="1">
      <c r="BG745" s="13"/>
      <c r="BH745" s="13"/>
    </row>
    <row r="746" ht="14.25" customHeight="1">
      <c r="BG746" s="13"/>
      <c r="BH746" s="13"/>
    </row>
    <row r="747" ht="14.25" customHeight="1">
      <c r="BG747" s="13"/>
      <c r="BH747" s="13"/>
    </row>
    <row r="748" ht="14.25" customHeight="1">
      <c r="BG748" s="13"/>
      <c r="BH748" s="13"/>
    </row>
    <row r="749" ht="14.25" customHeight="1">
      <c r="BG749" s="13"/>
      <c r="BH749" s="13"/>
    </row>
    <row r="750" ht="14.25" customHeight="1">
      <c r="BG750" s="13"/>
      <c r="BH750" s="13"/>
    </row>
    <row r="751" ht="14.25" customHeight="1">
      <c r="BG751" s="13"/>
      <c r="BH751" s="13"/>
    </row>
    <row r="752" ht="14.25" customHeight="1">
      <c r="BG752" s="13"/>
      <c r="BH752" s="13"/>
    </row>
    <row r="753" ht="14.25" customHeight="1">
      <c r="BG753" s="13"/>
      <c r="BH753" s="13"/>
    </row>
    <row r="754" ht="14.25" customHeight="1">
      <c r="BG754" s="13"/>
      <c r="BH754" s="13"/>
    </row>
    <row r="755" ht="14.25" customHeight="1">
      <c r="BG755" s="13"/>
      <c r="BH755" s="13"/>
    </row>
    <row r="756" ht="14.25" customHeight="1">
      <c r="BG756" s="13"/>
      <c r="BH756" s="13"/>
    </row>
    <row r="757" ht="14.25" customHeight="1">
      <c r="BG757" s="13"/>
      <c r="BH757" s="13"/>
    </row>
    <row r="758" ht="14.25" customHeight="1">
      <c r="BG758" s="13"/>
      <c r="BH758" s="13"/>
    </row>
    <row r="759" ht="14.25" customHeight="1">
      <c r="BG759" s="13"/>
      <c r="BH759" s="13"/>
    </row>
    <row r="760" ht="14.25" customHeight="1">
      <c r="BG760" s="13"/>
      <c r="BH760" s="13"/>
    </row>
    <row r="761" ht="14.25" customHeight="1">
      <c r="BG761" s="13"/>
      <c r="BH761" s="13"/>
    </row>
    <row r="762" ht="14.25" customHeight="1">
      <c r="BG762" s="13"/>
      <c r="BH762" s="13"/>
    </row>
    <row r="763" ht="14.25" customHeight="1">
      <c r="BG763" s="13"/>
      <c r="BH763" s="13"/>
    </row>
    <row r="764" ht="14.25" customHeight="1">
      <c r="BG764" s="13"/>
      <c r="BH764" s="13"/>
    </row>
    <row r="765" ht="14.25" customHeight="1">
      <c r="BG765" s="13"/>
      <c r="BH765" s="13"/>
    </row>
    <row r="766" ht="14.25" customHeight="1">
      <c r="BG766" s="13"/>
      <c r="BH766" s="13"/>
    </row>
    <row r="767" ht="14.25" customHeight="1">
      <c r="BG767" s="13"/>
      <c r="BH767" s="13"/>
    </row>
    <row r="768" ht="14.25" customHeight="1">
      <c r="BG768" s="13"/>
      <c r="BH768" s="13"/>
    </row>
    <row r="769" ht="14.25" customHeight="1">
      <c r="BG769" s="13"/>
      <c r="BH769" s="13"/>
    </row>
    <row r="770" ht="14.25" customHeight="1">
      <c r="BG770" s="13"/>
      <c r="BH770" s="13"/>
    </row>
    <row r="771" ht="14.25" customHeight="1">
      <c r="BG771" s="13"/>
      <c r="BH771" s="13"/>
    </row>
    <row r="772" ht="14.25" customHeight="1">
      <c r="BG772" s="13"/>
      <c r="BH772" s="13"/>
    </row>
    <row r="773" ht="14.25" customHeight="1">
      <c r="BG773" s="13"/>
      <c r="BH773" s="13"/>
    </row>
    <row r="774" ht="14.25" customHeight="1">
      <c r="BG774" s="13"/>
      <c r="BH774" s="13"/>
    </row>
    <row r="775" ht="14.25" customHeight="1">
      <c r="BG775" s="13"/>
      <c r="BH775" s="13"/>
    </row>
    <row r="776" ht="14.25" customHeight="1">
      <c r="BG776" s="13"/>
      <c r="BH776" s="13"/>
    </row>
    <row r="777" ht="14.25" customHeight="1">
      <c r="BG777" s="13"/>
      <c r="BH777" s="13"/>
    </row>
    <row r="778" ht="14.25" customHeight="1">
      <c r="BG778" s="13"/>
      <c r="BH778" s="13"/>
    </row>
    <row r="779" ht="14.25" customHeight="1">
      <c r="BG779" s="13"/>
      <c r="BH779" s="13"/>
    </row>
    <row r="780" ht="14.25" customHeight="1">
      <c r="BG780" s="13"/>
      <c r="BH780" s="13"/>
    </row>
    <row r="781" ht="14.25" customHeight="1">
      <c r="BG781" s="13"/>
      <c r="BH781" s="13"/>
    </row>
    <row r="782" ht="14.25" customHeight="1">
      <c r="BG782" s="13"/>
      <c r="BH782" s="13"/>
    </row>
    <row r="783" ht="14.25" customHeight="1">
      <c r="BG783" s="13"/>
      <c r="BH783" s="13"/>
    </row>
    <row r="784" ht="14.25" customHeight="1">
      <c r="BG784" s="13"/>
      <c r="BH784" s="13"/>
    </row>
    <row r="785" ht="14.25" customHeight="1">
      <c r="BG785" s="13"/>
      <c r="BH785" s="13"/>
    </row>
    <row r="786" ht="14.25" customHeight="1">
      <c r="BG786" s="13"/>
      <c r="BH786" s="13"/>
    </row>
    <row r="787" ht="14.25" customHeight="1">
      <c r="BG787" s="13"/>
      <c r="BH787" s="13"/>
    </row>
    <row r="788" ht="14.25" customHeight="1">
      <c r="BG788" s="13"/>
      <c r="BH788" s="13"/>
    </row>
    <row r="789" ht="14.25" customHeight="1">
      <c r="BG789" s="13"/>
      <c r="BH789" s="13"/>
    </row>
    <row r="790" ht="14.25" customHeight="1">
      <c r="BG790" s="13"/>
      <c r="BH790" s="13"/>
    </row>
    <row r="791" ht="14.25" customHeight="1">
      <c r="BG791" s="13"/>
      <c r="BH791" s="13"/>
    </row>
    <row r="792" ht="14.25" customHeight="1">
      <c r="BG792" s="13"/>
      <c r="BH792" s="13"/>
    </row>
    <row r="793" ht="14.25" customHeight="1">
      <c r="BG793" s="13"/>
      <c r="BH793" s="13"/>
    </row>
    <row r="794" ht="14.25" customHeight="1">
      <c r="BG794" s="13"/>
      <c r="BH794" s="13"/>
    </row>
    <row r="795" ht="14.25" customHeight="1">
      <c r="BG795" s="13"/>
      <c r="BH795" s="13"/>
    </row>
    <row r="796" ht="14.25" customHeight="1">
      <c r="BG796" s="13"/>
      <c r="BH796" s="13"/>
    </row>
    <row r="797" ht="14.25" customHeight="1">
      <c r="BG797" s="13"/>
      <c r="BH797" s="13"/>
    </row>
    <row r="798" ht="14.25" customHeight="1">
      <c r="BG798" s="13"/>
      <c r="BH798" s="13"/>
    </row>
    <row r="799" ht="14.25" customHeight="1">
      <c r="BG799" s="13"/>
      <c r="BH799" s="13"/>
    </row>
    <row r="800" ht="14.25" customHeight="1">
      <c r="BG800" s="13"/>
      <c r="BH800" s="13"/>
    </row>
    <row r="801" ht="14.25" customHeight="1">
      <c r="BG801" s="13"/>
      <c r="BH801" s="13"/>
    </row>
    <row r="802" ht="14.25" customHeight="1">
      <c r="BG802" s="13"/>
      <c r="BH802" s="13"/>
    </row>
    <row r="803" ht="14.25" customHeight="1">
      <c r="BG803" s="13"/>
      <c r="BH803" s="13"/>
    </row>
    <row r="804" ht="14.25" customHeight="1">
      <c r="BG804" s="13"/>
      <c r="BH804" s="13"/>
    </row>
    <row r="805" ht="14.25" customHeight="1">
      <c r="BG805" s="13"/>
      <c r="BH805" s="13"/>
    </row>
    <row r="806" ht="14.25" customHeight="1">
      <c r="BG806" s="13"/>
      <c r="BH806" s="13"/>
    </row>
    <row r="807" ht="14.25" customHeight="1">
      <c r="BG807" s="13"/>
      <c r="BH807" s="13"/>
    </row>
    <row r="808" ht="14.25" customHeight="1">
      <c r="BG808" s="13"/>
      <c r="BH808" s="13"/>
    </row>
    <row r="809" ht="14.25" customHeight="1">
      <c r="BG809" s="13"/>
      <c r="BH809" s="13"/>
    </row>
    <row r="810" ht="14.25" customHeight="1">
      <c r="BG810" s="13"/>
      <c r="BH810" s="13"/>
    </row>
    <row r="811" ht="14.25" customHeight="1">
      <c r="BG811" s="13"/>
      <c r="BH811" s="13"/>
    </row>
    <row r="812" ht="14.25" customHeight="1">
      <c r="BG812" s="13"/>
      <c r="BH812" s="13"/>
    </row>
    <row r="813" ht="14.25" customHeight="1">
      <c r="BG813" s="13"/>
      <c r="BH813" s="13"/>
    </row>
    <row r="814" ht="14.25" customHeight="1">
      <c r="BG814" s="13"/>
      <c r="BH814" s="13"/>
    </row>
    <row r="815" ht="14.25" customHeight="1">
      <c r="BG815" s="13"/>
      <c r="BH815" s="13"/>
    </row>
    <row r="816" ht="14.25" customHeight="1">
      <c r="BG816" s="13"/>
      <c r="BH816" s="13"/>
    </row>
    <row r="817" ht="14.25" customHeight="1">
      <c r="BG817" s="13"/>
      <c r="BH817" s="13"/>
    </row>
    <row r="818" ht="14.25" customHeight="1">
      <c r="BG818" s="13"/>
      <c r="BH818" s="13"/>
    </row>
    <row r="819" ht="14.25" customHeight="1">
      <c r="BG819" s="13"/>
      <c r="BH819" s="13"/>
    </row>
    <row r="820" ht="14.25" customHeight="1">
      <c r="BG820" s="13"/>
      <c r="BH820" s="13"/>
    </row>
    <row r="821" ht="14.25" customHeight="1">
      <c r="BG821" s="13"/>
      <c r="BH821" s="13"/>
    </row>
    <row r="822" ht="14.25" customHeight="1">
      <c r="BG822" s="13"/>
      <c r="BH822" s="13"/>
    </row>
    <row r="823" ht="14.25" customHeight="1">
      <c r="BG823" s="13"/>
      <c r="BH823" s="13"/>
    </row>
    <row r="824" ht="14.25" customHeight="1">
      <c r="BG824" s="13"/>
      <c r="BH824" s="13"/>
    </row>
    <row r="825" ht="14.25" customHeight="1">
      <c r="BG825" s="13"/>
      <c r="BH825" s="13"/>
    </row>
    <row r="826" ht="14.25" customHeight="1">
      <c r="BG826" s="13"/>
      <c r="BH826" s="13"/>
    </row>
    <row r="827" ht="14.25" customHeight="1">
      <c r="BG827" s="13"/>
      <c r="BH827" s="13"/>
    </row>
    <row r="828" ht="14.25" customHeight="1">
      <c r="BG828" s="13"/>
      <c r="BH828" s="13"/>
    </row>
    <row r="829" ht="14.25" customHeight="1">
      <c r="BG829" s="13"/>
      <c r="BH829" s="13"/>
    </row>
    <row r="830" ht="14.25" customHeight="1">
      <c r="BG830" s="13"/>
      <c r="BH830" s="13"/>
    </row>
    <row r="831" ht="14.25" customHeight="1">
      <c r="BG831" s="13"/>
      <c r="BH831" s="13"/>
    </row>
    <row r="832" ht="14.25" customHeight="1">
      <c r="BG832" s="13"/>
      <c r="BH832" s="13"/>
    </row>
    <row r="833" ht="14.25" customHeight="1">
      <c r="BG833" s="13"/>
      <c r="BH833" s="13"/>
    </row>
    <row r="834" ht="14.25" customHeight="1">
      <c r="BG834" s="13"/>
      <c r="BH834" s="13"/>
    </row>
    <row r="835" ht="14.25" customHeight="1">
      <c r="BG835" s="13"/>
      <c r="BH835" s="13"/>
    </row>
    <row r="836" ht="14.25" customHeight="1">
      <c r="BG836" s="13"/>
      <c r="BH836" s="13"/>
    </row>
    <row r="837" ht="14.25" customHeight="1">
      <c r="BG837" s="13"/>
      <c r="BH837" s="13"/>
    </row>
    <row r="838" ht="14.25" customHeight="1">
      <c r="BG838" s="13"/>
      <c r="BH838" s="13"/>
    </row>
    <row r="839" ht="14.25" customHeight="1">
      <c r="BG839" s="13"/>
      <c r="BH839" s="13"/>
    </row>
    <row r="840" ht="14.25" customHeight="1">
      <c r="BG840" s="13"/>
      <c r="BH840" s="13"/>
    </row>
    <row r="841" ht="14.25" customHeight="1">
      <c r="BG841" s="13"/>
      <c r="BH841" s="13"/>
    </row>
    <row r="842" ht="14.25" customHeight="1">
      <c r="BG842" s="13"/>
      <c r="BH842" s="13"/>
    </row>
    <row r="843" ht="14.25" customHeight="1">
      <c r="BG843" s="13"/>
      <c r="BH843" s="13"/>
    </row>
    <row r="844" ht="14.25" customHeight="1">
      <c r="BG844" s="13"/>
      <c r="BH844" s="13"/>
    </row>
    <row r="845" ht="14.25" customHeight="1">
      <c r="BG845" s="13"/>
      <c r="BH845" s="13"/>
    </row>
    <row r="846" ht="14.25" customHeight="1">
      <c r="BG846" s="13"/>
      <c r="BH846" s="13"/>
    </row>
    <row r="847" ht="14.25" customHeight="1">
      <c r="BG847" s="13"/>
      <c r="BH847" s="13"/>
    </row>
    <row r="848" ht="14.25" customHeight="1">
      <c r="BG848" s="13"/>
      <c r="BH848" s="13"/>
    </row>
    <row r="849" ht="14.25" customHeight="1">
      <c r="BG849" s="13"/>
      <c r="BH849" s="13"/>
    </row>
    <row r="850" ht="14.25" customHeight="1">
      <c r="BG850" s="13"/>
      <c r="BH850" s="13"/>
    </row>
    <row r="851" ht="14.25" customHeight="1">
      <c r="BG851" s="13"/>
      <c r="BH851" s="13"/>
    </row>
    <row r="852" ht="14.25" customHeight="1">
      <c r="BG852" s="13"/>
      <c r="BH852" s="13"/>
    </row>
    <row r="853" ht="14.25" customHeight="1">
      <c r="BG853" s="13"/>
      <c r="BH853" s="13"/>
    </row>
    <row r="854" ht="14.25" customHeight="1">
      <c r="BG854" s="13"/>
      <c r="BH854" s="13"/>
    </row>
    <row r="855" ht="14.25" customHeight="1">
      <c r="BG855" s="13"/>
      <c r="BH855" s="13"/>
    </row>
    <row r="856" ht="14.25" customHeight="1">
      <c r="BG856" s="13"/>
      <c r="BH856" s="13"/>
    </row>
    <row r="857" ht="14.25" customHeight="1">
      <c r="BG857" s="13"/>
      <c r="BH857" s="13"/>
    </row>
    <row r="858" ht="14.25" customHeight="1">
      <c r="BG858" s="13"/>
      <c r="BH858" s="13"/>
    </row>
    <row r="859" ht="14.25" customHeight="1">
      <c r="BG859" s="13"/>
      <c r="BH859" s="13"/>
    </row>
    <row r="860" ht="14.25" customHeight="1">
      <c r="BG860" s="13"/>
      <c r="BH860" s="13"/>
    </row>
    <row r="861" ht="14.25" customHeight="1">
      <c r="BG861" s="13"/>
      <c r="BH861" s="13"/>
    </row>
    <row r="862" ht="14.25" customHeight="1">
      <c r="BG862" s="13"/>
      <c r="BH862" s="13"/>
    </row>
    <row r="863" ht="14.25" customHeight="1">
      <c r="BG863" s="13"/>
      <c r="BH863" s="13"/>
    </row>
    <row r="864" ht="14.25" customHeight="1">
      <c r="BG864" s="13"/>
      <c r="BH864" s="13"/>
    </row>
    <row r="865" ht="14.25" customHeight="1">
      <c r="BG865" s="13"/>
      <c r="BH865" s="13"/>
    </row>
    <row r="866" ht="14.25" customHeight="1">
      <c r="BG866" s="13"/>
      <c r="BH866" s="13"/>
    </row>
    <row r="867" ht="14.25" customHeight="1">
      <c r="BG867" s="13"/>
      <c r="BH867" s="13"/>
    </row>
    <row r="868" ht="14.25" customHeight="1">
      <c r="BG868" s="13"/>
      <c r="BH868" s="13"/>
    </row>
    <row r="869" ht="14.25" customHeight="1">
      <c r="BG869" s="13"/>
      <c r="BH869" s="13"/>
    </row>
    <row r="870" ht="14.25" customHeight="1">
      <c r="BG870" s="13"/>
      <c r="BH870" s="13"/>
    </row>
    <row r="871" ht="14.25" customHeight="1">
      <c r="BG871" s="13"/>
      <c r="BH871" s="13"/>
    </row>
    <row r="872" ht="14.25" customHeight="1">
      <c r="BG872" s="13"/>
      <c r="BH872" s="13"/>
    </row>
    <row r="873" ht="14.25" customHeight="1">
      <c r="BG873" s="13"/>
      <c r="BH873" s="13"/>
    </row>
    <row r="874" ht="14.25" customHeight="1">
      <c r="BG874" s="13"/>
      <c r="BH874" s="13"/>
    </row>
    <row r="875" ht="14.25" customHeight="1">
      <c r="BG875" s="13"/>
      <c r="BH875" s="13"/>
    </row>
    <row r="876" ht="14.25" customHeight="1">
      <c r="BG876" s="13"/>
      <c r="BH876" s="13"/>
    </row>
    <row r="877" ht="14.25" customHeight="1">
      <c r="BG877" s="13"/>
      <c r="BH877" s="13"/>
    </row>
    <row r="878" ht="14.25" customHeight="1">
      <c r="BG878" s="13"/>
      <c r="BH878" s="13"/>
    </row>
    <row r="879" ht="14.25" customHeight="1">
      <c r="BG879" s="13"/>
      <c r="BH879" s="13"/>
    </row>
    <row r="880" ht="14.25" customHeight="1">
      <c r="BG880" s="13"/>
      <c r="BH880" s="13"/>
    </row>
    <row r="881" ht="14.25" customHeight="1">
      <c r="BG881" s="13"/>
      <c r="BH881" s="13"/>
    </row>
    <row r="882" ht="14.25" customHeight="1">
      <c r="BG882" s="13"/>
      <c r="BH882" s="13"/>
    </row>
    <row r="883" ht="14.25" customHeight="1">
      <c r="BG883" s="13"/>
      <c r="BH883" s="13"/>
    </row>
    <row r="884" ht="14.25" customHeight="1">
      <c r="BG884" s="13"/>
      <c r="BH884" s="13"/>
    </row>
    <row r="885" ht="14.25" customHeight="1">
      <c r="BG885" s="13"/>
      <c r="BH885" s="13"/>
    </row>
    <row r="886" ht="14.25" customHeight="1">
      <c r="BG886" s="13"/>
      <c r="BH886" s="13"/>
    </row>
    <row r="887" ht="14.25" customHeight="1">
      <c r="BG887" s="13"/>
      <c r="BH887" s="13"/>
    </row>
    <row r="888" ht="14.25" customHeight="1">
      <c r="BG888" s="13"/>
      <c r="BH888" s="13"/>
    </row>
    <row r="889" ht="14.25" customHeight="1">
      <c r="BG889" s="13"/>
      <c r="BH889" s="13"/>
    </row>
    <row r="890" ht="14.25" customHeight="1">
      <c r="BG890" s="13"/>
      <c r="BH890" s="13"/>
    </row>
    <row r="891" ht="14.25" customHeight="1">
      <c r="BG891" s="13"/>
      <c r="BH891" s="13"/>
    </row>
    <row r="892" ht="14.25" customHeight="1">
      <c r="BG892" s="13"/>
      <c r="BH892" s="13"/>
    </row>
    <row r="893" ht="14.25" customHeight="1">
      <c r="BG893" s="13"/>
      <c r="BH893" s="13"/>
    </row>
    <row r="894" ht="14.25" customHeight="1">
      <c r="BG894" s="13"/>
      <c r="BH894" s="13"/>
    </row>
    <row r="895" ht="14.25" customHeight="1">
      <c r="BG895" s="13"/>
      <c r="BH895" s="13"/>
    </row>
    <row r="896" ht="14.25" customHeight="1">
      <c r="BG896" s="13"/>
      <c r="BH896" s="13"/>
    </row>
    <row r="897" ht="14.25" customHeight="1">
      <c r="BG897" s="13"/>
      <c r="BH897" s="13"/>
    </row>
    <row r="898" ht="14.25" customHeight="1">
      <c r="BG898" s="13"/>
      <c r="BH898" s="13"/>
    </row>
    <row r="899" ht="14.25" customHeight="1">
      <c r="BG899" s="13"/>
      <c r="BH899" s="13"/>
    </row>
    <row r="900" ht="14.25" customHeight="1">
      <c r="BG900" s="13"/>
      <c r="BH900" s="13"/>
    </row>
    <row r="901" ht="14.25" customHeight="1">
      <c r="BG901" s="13"/>
      <c r="BH901" s="13"/>
    </row>
    <row r="902" ht="14.25" customHeight="1">
      <c r="BG902" s="13"/>
      <c r="BH902" s="13"/>
    </row>
    <row r="903" ht="14.25" customHeight="1">
      <c r="BG903" s="13"/>
      <c r="BH903" s="13"/>
    </row>
    <row r="904" ht="14.25" customHeight="1">
      <c r="BG904" s="13"/>
      <c r="BH904" s="13"/>
    </row>
    <row r="905" ht="14.25" customHeight="1">
      <c r="BG905" s="13"/>
      <c r="BH905" s="13"/>
    </row>
    <row r="906" ht="14.25" customHeight="1">
      <c r="BG906" s="13"/>
      <c r="BH906" s="13"/>
    </row>
    <row r="907" ht="14.25" customHeight="1">
      <c r="BG907" s="13"/>
      <c r="BH907" s="13"/>
    </row>
    <row r="908" ht="14.25" customHeight="1">
      <c r="BG908" s="13"/>
      <c r="BH908" s="13"/>
    </row>
    <row r="909" ht="14.25" customHeight="1">
      <c r="BG909" s="13"/>
      <c r="BH909" s="13"/>
    </row>
    <row r="910" ht="14.25" customHeight="1">
      <c r="BG910" s="13"/>
      <c r="BH910" s="13"/>
    </row>
    <row r="911" ht="14.25" customHeight="1">
      <c r="BG911" s="13"/>
      <c r="BH911" s="13"/>
    </row>
    <row r="912" ht="14.25" customHeight="1">
      <c r="BG912" s="13"/>
      <c r="BH912" s="13"/>
    </row>
    <row r="913" ht="14.25" customHeight="1">
      <c r="BG913" s="13"/>
      <c r="BH913" s="13"/>
    </row>
    <row r="914" ht="14.25" customHeight="1">
      <c r="BG914" s="13"/>
      <c r="BH914" s="13"/>
    </row>
    <row r="915" ht="14.25" customHeight="1">
      <c r="BG915" s="13"/>
      <c r="BH915" s="13"/>
    </row>
    <row r="916" ht="14.25" customHeight="1">
      <c r="BG916" s="13"/>
      <c r="BH916" s="13"/>
    </row>
    <row r="917" ht="14.25" customHeight="1">
      <c r="BG917" s="13"/>
      <c r="BH917" s="13"/>
    </row>
    <row r="918" ht="14.25" customHeight="1">
      <c r="BG918" s="13"/>
      <c r="BH918" s="13"/>
    </row>
    <row r="919" ht="14.25" customHeight="1">
      <c r="BG919" s="13"/>
      <c r="BH919" s="13"/>
    </row>
    <row r="920" ht="14.25" customHeight="1">
      <c r="BG920" s="13"/>
      <c r="BH920" s="13"/>
    </row>
    <row r="921" ht="14.25" customHeight="1">
      <c r="BG921" s="13"/>
      <c r="BH921" s="13"/>
    </row>
    <row r="922" ht="14.25" customHeight="1">
      <c r="BG922" s="13"/>
      <c r="BH922" s="13"/>
    </row>
    <row r="923" ht="14.25" customHeight="1">
      <c r="BG923" s="13"/>
      <c r="BH923" s="13"/>
    </row>
    <row r="924" ht="14.25" customHeight="1">
      <c r="BG924" s="13"/>
      <c r="BH924" s="13"/>
    </row>
    <row r="925" ht="14.25" customHeight="1">
      <c r="BG925" s="13"/>
      <c r="BH925" s="13"/>
    </row>
    <row r="926" ht="14.25" customHeight="1">
      <c r="BG926" s="13"/>
      <c r="BH926" s="13"/>
    </row>
    <row r="927" ht="14.25" customHeight="1">
      <c r="BG927" s="13"/>
      <c r="BH927" s="13"/>
    </row>
    <row r="928" ht="14.25" customHeight="1">
      <c r="BG928" s="13"/>
      <c r="BH928" s="13"/>
    </row>
    <row r="929" ht="14.25" customHeight="1">
      <c r="BG929" s="13"/>
      <c r="BH929" s="13"/>
    </row>
    <row r="930" ht="14.25" customHeight="1">
      <c r="BG930" s="13"/>
      <c r="BH930" s="13"/>
    </row>
    <row r="931" ht="14.25" customHeight="1">
      <c r="BG931" s="13"/>
      <c r="BH931" s="13"/>
    </row>
    <row r="932" ht="14.25" customHeight="1">
      <c r="BG932" s="13"/>
      <c r="BH932" s="13"/>
    </row>
    <row r="933" ht="14.25" customHeight="1">
      <c r="BG933" s="13"/>
      <c r="BH933" s="13"/>
    </row>
    <row r="934" ht="14.25" customHeight="1">
      <c r="BG934" s="13"/>
      <c r="BH934" s="13"/>
    </row>
    <row r="935" ht="14.25" customHeight="1">
      <c r="BG935" s="13"/>
      <c r="BH935" s="13"/>
    </row>
    <row r="936" ht="14.25" customHeight="1">
      <c r="BG936" s="13"/>
      <c r="BH936" s="13"/>
    </row>
    <row r="937" ht="14.25" customHeight="1">
      <c r="BG937" s="13"/>
      <c r="BH937" s="13"/>
    </row>
    <row r="938" ht="14.25" customHeight="1">
      <c r="BG938" s="13"/>
      <c r="BH938" s="13"/>
    </row>
    <row r="939" ht="14.25" customHeight="1">
      <c r="BG939" s="13"/>
      <c r="BH939" s="13"/>
    </row>
    <row r="940" ht="14.25" customHeight="1">
      <c r="BG940" s="13"/>
      <c r="BH940" s="13"/>
    </row>
    <row r="941" ht="14.25" customHeight="1">
      <c r="BG941" s="13"/>
      <c r="BH941" s="13"/>
    </row>
    <row r="942" ht="14.25" customHeight="1">
      <c r="BG942" s="13"/>
      <c r="BH942" s="13"/>
    </row>
    <row r="943" ht="14.25" customHeight="1">
      <c r="BG943" s="13"/>
      <c r="BH943" s="13"/>
    </row>
    <row r="944" ht="14.25" customHeight="1">
      <c r="BG944" s="13"/>
      <c r="BH944" s="13"/>
    </row>
    <row r="945" ht="14.25" customHeight="1">
      <c r="BG945" s="13"/>
      <c r="BH945" s="13"/>
    </row>
    <row r="946" ht="14.25" customHeight="1">
      <c r="BG946" s="13"/>
      <c r="BH946" s="13"/>
    </row>
    <row r="947" ht="14.25" customHeight="1">
      <c r="BG947" s="13"/>
      <c r="BH947" s="13"/>
    </row>
    <row r="948" ht="14.25" customHeight="1">
      <c r="BG948" s="13"/>
      <c r="BH948" s="13"/>
    </row>
    <row r="949" ht="14.25" customHeight="1">
      <c r="BG949" s="13"/>
      <c r="BH949" s="13"/>
    </row>
    <row r="950" ht="14.25" customHeight="1">
      <c r="BG950" s="13"/>
      <c r="BH950" s="13"/>
    </row>
    <row r="951" ht="14.25" customHeight="1">
      <c r="BG951" s="13"/>
      <c r="BH951" s="13"/>
    </row>
    <row r="952" ht="14.25" customHeight="1">
      <c r="BG952" s="13"/>
      <c r="BH952" s="13"/>
    </row>
    <row r="953" ht="14.25" customHeight="1">
      <c r="BG953" s="13"/>
      <c r="BH953" s="13"/>
    </row>
    <row r="954" ht="14.25" customHeight="1">
      <c r="BG954" s="13"/>
      <c r="BH954" s="13"/>
    </row>
    <row r="955" ht="14.25" customHeight="1">
      <c r="BG955" s="13"/>
      <c r="BH955" s="13"/>
    </row>
    <row r="956" ht="14.25" customHeight="1">
      <c r="BG956" s="13"/>
      <c r="BH956" s="13"/>
    </row>
    <row r="957" ht="14.25" customHeight="1">
      <c r="BG957" s="13"/>
      <c r="BH957" s="13"/>
    </row>
    <row r="958" ht="14.25" customHeight="1">
      <c r="BG958" s="13"/>
      <c r="BH958" s="13"/>
    </row>
    <row r="959" ht="14.25" customHeight="1">
      <c r="BG959" s="13"/>
      <c r="BH959" s="13"/>
    </row>
    <row r="960" ht="14.25" customHeight="1">
      <c r="BG960" s="13"/>
      <c r="BH960" s="13"/>
    </row>
    <row r="961" ht="14.25" customHeight="1">
      <c r="BG961" s="13"/>
      <c r="BH961" s="13"/>
    </row>
    <row r="962" ht="14.25" customHeight="1">
      <c r="BG962" s="13"/>
      <c r="BH962" s="13"/>
    </row>
    <row r="963" ht="14.25" customHeight="1">
      <c r="BG963" s="13"/>
      <c r="BH963" s="13"/>
    </row>
    <row r="964" ht="14.25" customHeight="1">
      <c r="BG964" s="13"/>
      <c r="BH964" s="13"/>
    </row>
    <row r="965" ht="14.25" customHeight="1">
      <c r="BG965" s="13"/>
      <c r="BH965" s="13"/>
    </row>
    <row r="966" ht="14.25" customHeight="1">
      <c r="BG966" s="13"/>
      <c r="BH966" s="13"/>
    </row>
    <row r="967" ht="14.25" customHeight="1">
      <c r="BG967" s="13"/>
      <c r="BH967" s="13"/>
    </row>
    <row r="968" ht="14.25" customHeight="1">
      <c r="BG968" s="13"/>
      <c r="BH968" s="13"/>
    </row>
    <row r="969" ht="14.25" customHeight="1">
      <c r="BG969" s="13"/>
      <c r="BH969" s="13"/>
    </row>
    <row r="970" ht="14.25" customHeight="1">
      <c r="BG970" s="13"/>
      <c r="BH970" s="13"/>
    </row>
    <row r="971" ht="14.25" customHeight="1">
      <c r="BG971" s="13"/>
      <c r="BH971" s="13"/>
    </row>
    <row r="972" ht="14.25" customHeight="1">
      <c r="BG972" s="13"/>
      <c r="BH972" s="13"/>
    </row>
    <row r="973" ht="14.25" customHeight="1">
      <c r="BG973" s="13"/>
      <c r="BH973" s="13"/>
    </row>
    <row r="974" ht="14.25" customHeight="1">
      <c r="BG974" s="13"/>
      <c r="BH974" s="13"/>
    </row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</hyperlinks>
  <printOptions/>
  <pageMargins bottom="0.75" footer="0.0" header="0.0" left="0.7" right="0.7" top="0.75"/>
  <pageSetup orientation="landscape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3" width="12.88"/>
    <col customWidth="1" min="4" max="4" width="12.0"/>
    <col customWidth="1" min="5" max="5" width="13.5"/>
    <col customWidth="1" min="6" max="6" width="14.5"/>
    <col customWidth="1" min="7" max="9" width="14.25"/>
    <col customWidth="1" min="10" max="10" width="17.0"/>
    <col customWidth="1" min="11" max="11" width="23.88"/>
    <col customWidth="1" min="12" max="12" width="17.38"/>
    <col customWidth="1" min="13" max="13" width="19.38"/>
    <col customWidth="1" min="14" max="15" width="17.0"/>
    <col customWidth="1" min="16" max="16" width="20.75"/>
    <col customWidth="1" min="17" max="17" width="13.5"/>
    <col customWidth="1" min="18" max="19" width="13.13"/>
    <col customWidth="1" min="20" max="20" width="17.0"/>
    <col customWidth="1" min="21" max="21" width="14.38"/>
    <col customWidth="1" min="22" max="27" width="8.63"/>
    <col customWidth="1" min="28" max="28" width="15.38"/>
    <col customWidth="1" min="29" max="30" width="8.63"/>
    <col customWidth="1" min="31" max="31" width="13.13"/>
    <col customWidth="1" min="32" max="32" width="13.25"/>
    <col customWidth="1" min="33" max="34" width="10.38"/>
    <col customWidth="1" min="35" max="35" width="17.38"/>
    <col customWidth="1" min="36" max="36" width="14.75"/>
    <col customWidth="1" min="37" max="37" width="13.13"/>
    <col customWidth="1" min="38" max="39" width="10.38"/>
    <col customWidth="1" min="40" max="40" width="11.38"/>
    <col customWidth="1" min="41" max="41" width="10.13"/>
    <col customWidth="1" min="42" max="42" width="9.13"/>
    <col customWidth="1" min="43" max="43" width="14.38"/>
    <col customWidth="1" min="44" max="57" width="14.25"/>
    <col customWidth="1" min="58" max="58" width="9.13"/>
    <col customWidth="1" min="59" max="59" width="12.25"/>
    <col customWidth="1" min="60" max="60" width="14.63"/>
    <col customWidth="1" min="61" max="61" width="14.0"/>
    <col customWidth="1" min="62" max="74" width="10.88"/>
    <col customWidth="1" min="75" max="75" width="8.63"/>
    <col customWidth="1" min="76" max="90" width="10.88"/>
  </cols>
  <sheetData>
    <row r="1" ht="54.0" customHeight="1">
      <c r="A1" s="1" t="s">
        <v>0</v>
      </c>
      <c r="B1" s="35" t="s">
        <v>83</v>
      </c>
      <c r="C1" s="35" t="s">
        <v>84</v>
      </c>
      <c r="D1" s="35" t="s">
        <v>85</v>
      </c>
      <c r="E1" s="35" t="s">
        <v>86</v>
      </c>
      <c r="F1" s="35" t="s">
        <v>87</v>
      </c>
      <c r="G1" s="2" t="s">
        <v>1</v>
      </c>
      <c r="H1" s="2" t="s">
        <v>2</v>
      </c>
      <c r="I1" s="3" t="s">
        <v>3</v>
      </c>
      <c r="J1" s="4" t="s">
        <v>4</v>
      </c>
      <c r="K1" s="4" t="s">
        <v>88</v>
      </c>
      <c r="L1" s="2" t="s">
        <v>5</v>
      </c>
      <c r="M1" s="2" t="s">
        <v>6</v>
      </c>
      <c r="N1" s="2" t="s">
        <v>7</v>
      </c>
      <c r="O1" s="2" t="s">
        <v>8</v>
      </c>
      <c r="P1" s="4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4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2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2" t="s">
        <v>23</v>
      </c>
      <c r="AH1" s="4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2" t="s">
        <v>31</v>
      </c>
      <c r="BC1" s="4" t="s">
        <v>101</v>
      </c>
      <c r="BD1" s="4" t="s">
        <v>102</v>
      </c>
      <c r="BE1" s="4" t="s">
        <v>103</v>
      </c>
      <c r="BF1" s="36" t="s">
        <v>104</v>
      </c>
      <c r="BG1" s="37" t="s">
        <v>30</v>
      </c>
      <c r="BH1" s="37" t="s">
        <v>31</v>
      </c>
      <c r="BI1" s="5" t="s">
        <v>3</v>
      </c>
      <c r="BJ1" s="6" t="s">
        <v>32</v>
      </c>
      <c r="BK1" s="38" t="s">
        <v>33</v>
      </c>
      <c r="BL1" s="38" t="s">
        <v>105</v>
      </c>
      <c r="BM1" s="8" t="s">
        <v>34</v>
      </c>
      <c r="BN1" s="9" t="s">
        <v>35</v>
      </c>
      <c r="BO1" s="9" t="s">
        <v>36</v>
      </c>
      <c r="BP1" s="9" t="s">
        <v>37</v>
      </c>
      <c r="BQ1" s="9" t="s">
        <v>38</v>
      </c>
      <c r="BR1" s="9" t="s">
        <v>39</v>
      </c>
      <c r="BS1" s="9" t="s">
        <v>40</v>
      </c>
      <c r="BT1" s="9" t="s">
        <v>41</v>
      </c>
      <c r="BU1" s="9" t="s">
        <v>42</v>
      </c>
      <c r="BV1" s="9" t="s">
        <v>43</v>
      </c>
      <c r="BW1" s="10" t="s">
        <v>44</v>
      </c>
      <c r="BX1" s="10" t="s">
        <v>159</v>
      </c>
      <c r="BY1" s="10" t="s">
        <v>46</v>
      </c>
      <c r="BZ1" s="10" t="s">
        <v>107</v>
      </c>
      <c r="CA1" s="10" t="s">
        <v>160</v>
      </c>
      <c r="CB1" s="10" t="s">
        <v>49</v>
      </c>
      <c r="CC1" s="10" t="s">
        <v>161</v>
      </c>
      <c r="CD1" s="10" t="s">
        <v>51</v>
      </c>
      <c r="CE1" s="10" t="s">
        <v>52</v>
      </c>
      <c r="CF1" s="10" t="s">
        <v>162</v>
      </c>
      <c r="CG1" s="10" t="s">
        <v>54</v>
      </c>
      <c r="CH1" s="10" t="s">
        <v>109</v>
      </c>
      <c r="CI1" s="10" t="s">
        <v>163</v>
      </c>
      <c r="CJ1" s="10" t="s">
        <v>111</v>
      </c>
      <c r="CK1" s="10" t="s">
        <v>164</v>
      </c>
      <c r="CL1" s="10" t="s">
        <v>165</v>
      </c>
    </row>
    <row r="2" ht="14.25" customHeight="1">
      <c r="A2" s="11" t="s">
        <v>166</v>
      </c>
      <c r="B2" s="43"/>
      <c r="C2" s="13"/>
      <c r="D2" s="13"/>
      <c r="E2" s="40"/>
      <c r="F2" s="13"/>
      <c r="G2" s="12"/>
      <c r="H2" s="13"/>
      <c r="I2" s="20" t="s">
        <v>167</v>
      </c>
      <c r="J2" s="42" t="s">
        <v>114</v>
      </c>
      <c r="K2" s="13" t="s">
        <v>115</v>
      </c>
      <c r="L2" s="11" t="s">
        <v>166</v>
      </c>
      <c r="M2" s="13" t="s">
        <v>62</v>
      </c>
      <c r="N2" s="13" t="s">
        <v>63</v>
      </c>
      <c r="O2" s="15">
        <v>8000.0</v>
      </c>
      <c r="P2" s="5" t="s">
        <v>116</v>
      </c>
      <c r="Q2" s="43" t="s">
        <v>117</v>
      </c>
      <c r="R2" s="44" t="s">
        <v>69</v>
      </c>
      <c r="S2" s="44" t="s">
        <v>69</v>
      </c>
      <c r="T2" s="16" t="s">
        <v>66</v>
      </c>
      <c r="U2" s="17">
        <v>2.01</v>
      </c>
      <c r="V2" s="18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9">
        <v>83.07</v>
      </c>
      <c r="AB2" s="21">
        <v>25.0</v>
      </c>
      <c r="AC2" s="19">
        <v>2.5</v>
      </c>
      <c r="AD2" s="19">
        <v>6.0</v>
      </c>
      <c r="AE2" s="19">
        <v>7.8</v>
      </c>
      <c r="AF2" s="22">
        <v>0.0</v>
      </c>
      <c r="AG2" s="23" t="s">
        <v>69</v>
      </c>
      <c r="AH2" s="45" t="s">
        <v>69</v>
      </c>
      <c r="AI2" s="46" t="s">
        <v>69</v>
      </c>
      <c r="AJ2" s="45" t="s">
        <v>69</v>
      </c>
      <c r="AK2" s="45" t="s">
        <v>69</v>
      </c>
      <c r="AL2" s="45" t="s">
        <v>69</v>
      </c>
      <c r="AM2" s="45" t="s">
        <v>69</v>
      </c>
      <c r="AN2" s="45" t="s">
        <v>69</v>
      </c>
      <c r="AO2" s="45" t="s">
        <v>69</v>
      </c>
      <c r="AP2" s="23" t="s">
        <v>69</v>
      </c>
      <c r="AQ2" s="23" t="s">
        <v>69</v>
      </c>
      <c r="AR2" s="23" t="s">
        <v>69</v>
      </c>
      <c r="AS2" s="23" t="s">
        <v>69</v>
      </c>
      <c r="AT2" s="23" t="s">
        <v>69</v>
      </c>
      <c r="AU2" s="23" t="s">
        <v>69</v>
      </c>
      <c r="AV2" s="23" t="s">
        <v>69</v>
      </c>
      <c r="AW2" s="23" t="s">
        <v>69</v>
      </c>
      <c r="AX2" s="23" t="s">
        <v>69</v>
      </c>
      <c r="AY2" s="23" t="s">
        <v>69</v>
      </c>
      <c r="AZ2" s="23" t="s">
        <v>69</v>
      </c>
      <c r="BA2" s="23" t="s">
        <v>69</v>
      </c>
      <c r="BB2" s="23" t="s">
        <v>69</v>
      </c>
      <c r="BC2" s="47">
        <v>0.0</v>
      </c>
      <c r="BD2" s="48" t="s">
        <v>168</v>
      </c>
      <c r="BE2" s="49">
        <v>1.0</v>
      </c>
      <c r="BF2" s="50">
        <v>10.0</v>
      </c>
      <c r="BG2" s="51" t="s">
        <v>72</v>
      </c>
      <c r="BH2" s="52">
        <v>0.0</v>
      </c>
      <c r="BI2" s="20" t="s">
        <v>167</v>
      </c>
      <c r="BJ2" s="133" t="s">
        <v>69</v>
      </c>
      <c r="BK2" s="134">
        <v>26.0</v>
      </c>
      <c r="BL2" s="134" t="s">
        <v>69</v>
      </c>
      <c r="BM2" s="135">
        <v>-913453.0</v>
      </c>
      <c r="BN2" s="134" t="s">
        <v>69</v>
      </c>
      <c r="BO2" s="134" t="s">
        <v>69</v>
      </c>
      <c r="BP2" s="136" t="s">
        <v>69</v>
      </c>
      <c r="BQ2" s="137" t="s">
        <v>69</v>
      </c>
      <c r="BR2" s="137" t="s">
        <v>69</v>
      </c>
      <c r="BS2" s="137" t="s">
        <v>69</v>
      </c>
      <c r="BT2" s="137" t="s">
        <v>69</v>
      </c>
      <c r="BU2" s="137" t="s">
        <v>69</v>
      </c>
      <c r="BV2" s="137" t="s">
        <v>69</v>
      </c>
      <c r="BW2" s="138">
        <v>44197.0</v>
      </c>
      <c r="BX2" s="137">
        <v>249593.0</v>
      </c>
      <c r="BY2" s="137">
        <v>205396.0</v>
      </c>
      <c r="BZ2" s="32">
        <v>0.0</v>
      </c>
      <c r="CA2" s="31">
        <v>1137.0</v>
      </c>
      <c r="CB2" s="34">
        <v>8394.0</v>
      </c>
      <c r="CC2" s="34">
        <v>44550.0</v>
      </c>
      <c r="CD2" s="34">
        <v>36156.0</v>
      </c>
      <c r="CE2" s="33">
        <v>334284.0</v>
      </c>
      <c r="CF2" s="34">
        <v>1774216.0</v>
      </c>
      <c r="CG2" s="34">
        <v>1439932.0</v>
      </c>
      <c r="CH2" s="34">
        <v>860764.0</v>
      </c>
      <c r="CI2" s="34">
        <v>1774216.0</v>
      </c>
      <c r="CJ2" s="34">
        <v>913453.0</v>
      </c>
      <c r="CK2" s="34">
        <v>-913453.0</v>
      </c>
      <c r="CL2" s="139">
        <v>0.0</v>
      </c>
    </row>
    <row r="3" ht="14.25" customHeight="1">
      <c r="A3" s="11" t="s">
        <v>169</v>
      </c>
      <c r="B3" s="43"/>
      <c r="C3" s="13"/>
      <c r="D3" s="13"/>
      <c r="E3" s="40"/>
      <c r="F3" s="13"/>
      <c r="G3" s="13"/>
      <c r="H3" s="12"/>
      <c r="I3" s="20" t="s">
        <v>170</v>
      </c>
      <c r="J3" s="42" t="s">
        <v>114</v>
      </c>
      <c r="K3" s="13" t="s">
        <v>115</v>
      </c>
      <c r="L3" s="11" t="s">
        <v>169</v>
      </c>
      <c r="M3" s="13" t="s">
        <v>62</v>
      </c>
      <c r="N3" s="13" t="s">
        <v>63</v>
      </c>
      <c r="O3" s="15">
        <v>8000.0</v>
      </c>
      <c r="P3" s="5" t="s">
        <v>116</v>
      </c>
      <c r="Q3" s="43" t="s">
        <v>117</v>
      </c>
      <c r="R3" s="44" t="s">
        <v>69</v>
      </c>
      <c r="S3" s="44" t="s">
        <v>69</v>
      </c>
      <c r="T3" s="16" t="s">
        <v>66</v>
      </c>
      <c r="U3" s="17">
        <v>2.01</v>
      </c>
      <c r="V3" s="18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9">
        <v>83.07</v>
      </c>
      <c r="AB3" s="21">
        <v>10.0</v>
      </c>
      <c r="AC3" s="19">
        <v>2.5</v>
      </c>
      <c r="AD3" s="19">
        <v>6.0</v>
      </c>
      <c r="AE3" s="19">
        <v>7.8</v>
      </c>
      <c r="AF3" s="22">
        <v>0.0</v>
      </c>
      <c r="AG3" s="23" t="s">
        <v>69</v>
      </c>
      <c r="AH3" s="45" t="s">
        <v>69</v>
      </c>
      <c r="AI3" s="46" t="s">
        <v>69</v>
      </c>
      <c r="AJ3" s="45" t="s">
        <v>69</v>
      </c>
      <c r="AK3" s="45" t="s">
        <v>69</v>
      </c>
      <c r="AL3" s="45" t="s">
        <v>69</v>
      </c>
      <c r="AM3" s="45" t="s">
        <v>69</v>
      </c>
      <c r="AN3" s="45" t="s">
        <v>69</v>
      </c>
      <c r="AO3" s="45" t="s">
        <v>69</v>
      </c>
      <c r="AP3" s="23" t="s">
        <v>69</v>
      </c>
      <c r="AQ3" s="23" t="s">
        <v>69</v>
      </c>
      <c r="AR3" s="23" t="s">
        <v>69</v>
      </c>
      <c r="AS3" s="23" t="s">
        <v>69</v>
      </c>
      <c r="AT3" s="23" t="s">
        <v>69</v>
      </c>
      <c r="AU3" s="23" t="s">
        <v>69</v>
      </c>
      <c r="AV3" s="23" t="s">
        <v>69</v>
      </c>
      <c r="AW3" s="23" t="s">
        <v>69</v>
      </c>
      <c r="AX3" s="23" t="s">
        <v>69</v>
      </c>
      <c r="AY3" s="23" t="s">
        <v>69</v>
      </c>
      <c r="AZ3" s="23" t="s">
        <v>69</v>
      </c>
      <c r="BA3" s="23" t="s">
        <v>69</v>
      </c>
      <c r="BB3" s="23" t="s">
        <v>69</v>
      </c>
      <c r="BC3" s="47">
        <v>0.0</v>
      </c>
      <c r="BD3" s="48" t="s">
        <v>168</v>
      </c>
      <c r="BE3" s="49">
        <v>1.0</v>
      </c>
      <c r="BF3" s="50">
        <v>10.0</v>
      </c>
      <c r="BG3" s="51" t="s">
        <v>72</v>
      </c>
      <c r="BH3" s="52">
        <v>0.0</v>
      </c>
      <c r="BI3" s="20" t="s">
        <v>170</v>
      </c>
      <c r="BJ3" s="140" t="s">
        <v>69</v>
      </c>
      <c r="BK3" s="141">
        <v>26.0</v>
      </c>
      <c r="BL3" s="141" t="s">
        <v>69</v>
      </c>
      <c r="BM3" s="135">
        <v>-241218.0</v>
      </c>
      <c r="BN3" s="137" t="s">
        <v>69</v>
      </c>
      <c r="BO3" s="137" t="s">
        <v>69</v>
      </c>
      <c r="BP3" s="137" t="s">
        <v>69</v>
      </c>
      <c r="BQ3" s="137" t="s">
        <v>69</v>
      </c>
      <c r="BR3" s="137" t="s">
        <v>69</v>
      </c>
      <c r="BS3" s="137" t="s">
        <v>69</v>
      </c>
      <c r="BT3" s="137" t="s">
        <v>69</v>
      </c>
      <c r="BU3" s="137" t="s">
        <v>69</v>
      </c>
      <c r="BV3" s="137" t="s">
        <v>69</v>
      </c>
      <c r="BW3" s="138">
        <v>44197.0</v>
      </c>
      <c r="BX3" s="137">
        <v>249593.0</v>
      </c>
      <c r="BY3" s="137">
        <v>205396.0</v>
      </c>
      <c r="BZ3" s="32">
        <v>0.0</v>
      </c>
      <c r="CA3" s="13">
        <v>434.0</v>
      </c>
      <c r="CB3" s="34">
        <v>8394.0</v>
      </c>
      <c r="CC3" s="34">
        <v>44550.0</v>
      </c>
      <c r="CD3" s="34">
        <v>36156.0</v>
      </c>
      <c r="CE3" s="33">
        <v>101431.0</v>
      </c>
      <c r="CF3" s="34">
        <v>538348.0</v>
      </c>
      <c r="CG3" s="34">
        <v>436917.0</v>
      </c>
      <c r="CH3" s="33">
        <v>297130.0</v>
      </c>
      <c r="CI3" s="34">
        <v>538348.0</v>
      </c>
      <c r="CJ3" s="34">
        <v>241218.0</v>
      </c>
      <c r="CK3" s="34">
        <v>-241218.0</v>
      </c>
      <c r="CL3" s="139">
        <v>0.0</v>
      </c>
    </row>
    <row r="4" ht="14.25" customHeight="1">
      <c r="A4" s="11" t="s">
        <v>171</v>
      </c>
      <c r="C4" s="43"/>
      <c r="D4" s="13"/>
      <c r="E4" s="13"/>
      <c r="F4" s="42"/>
      <c r="G4" s="12"/>
      <c r="H4" s="13"/>
      <c r="I4" s="20" t="s">
        <v>172</v>
      </c>
      <c r="J4" s="42" t="s">
        <v>121</v>
      </c>
      <c r="K4" s="13" t="s">
        <v>115</v>
      </c>
      <c r="L4" s="11" t="s">
        <v>171</v>
      </c>
      <c r="M4" s="13" t="s">
        <v>62</v>
      </c>
      <c r="N4" s="13" t="s">
        <v>63</v>
      </c>
      <c r="O4" s="15">
        <v>8000.0</v>
      </c>
      <c r="P4" s="5" t="s">
        <v>116</v>
      </c>
      <c r="Q4" s="43" t="s">
        <v>84</v>
      </c>
      <c r="R4" s="19">
        <v>100.0</v>
      </c>
      <c r="S4" s="44" t="s">
        <v>69</v>
      </c>
      <c r="T4" s="16" t="s">
        <v>66</v>
      </c>
      <c r="U4" s="17">
        <v>2.01</v>
      </c>
      <c r="V4" s="18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9">
        <v>83.07</v>
      </c>
      <c r="AB4" s="21">
        <v>25.0</v>
      </c>
      <c r="AC4" s="19">
        <v>2.5</v>
      </c>
      <c r="AD4" s="19">
        <v>6.0</v>
      </c>
      <c r="AE4" s="19">
        <v>7.8</v>
      </c>
      <c r="AF4" s="22">
        <v>0.0</v>
      </c>
      <c r="AG4" s="23" t="s">
        <v>69</v>
      </c>
      <c r="AH4" s="24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27">
        <v>0.0</v>
      </c>
      <c r="AP4" s="23" t="s">
        <v>69</v>
      </c>
      <c r="AQ4" s="23" t="s">
        <v>69</v>
      </c>
      <c r="AR4" s="23" t="s">
        <v>69</v>
      </c>
      <c r="AS4" s="23" t="s">
        <v>69</v>
      </c>
      <c r="AT4" s="23" t="s">
        <v>69</v>
      </c>
      <c r="AU4" s="23" t="s">
        <v>69</v>
      </c>
      <c r="AV4" s="23" t="s">
        <v>69</v>
      </c>
      <c r="AW4" s="23" t="s">
        <v>69</v>
      </c>
      <c r="AX4" s="23" t="s">
        <v>69</v>
      </c>
      <c r="AY4" s="23" t="s">
        <v>69</v>
      </c>
      <c r="AZ4" s="23" t="s">
        <v>69</v>
      </c>
      <c r="BA4" s="23" t="s">
        <v>69</v>
      </c>
      <c r="BB4" s="23" t="s">
        <v>69</v>
      </c>
      <c r="BC4" s="47">
        <v>0.0</v>
      </c>
      <c r="BD4" s="48" t="s">
        <v>168</v>
      </c>
      <c r="BE4" s="49">
        <v>1.0</v>
      </c>
      <c r="BF4" s="50">
        <v>10.0</v>
      </c>
      <c r="BG4" s="51" t="s">
        <v>72</v>
      </c>
      <c r="BH4" s="52">
        <v>0.0</v>
      </c>
      <c r="BI4" s="20" t="s">
        <v>172</v>
      </c>
      <c r="BJ4" s="142">
        <v>80.0</v>
      </c>
      <c r="BK4" s="141">
        <v>26.0</v>
      </c>
      <c r="BL4" s="143" t="s">
        <v>69</v>
      </c>
      <c r="BM4" s="144">
        <v>-760007.0</v>
      </c>
      <c r="BN4" s="145">
        <v>216069.0</v>
      </c>
      <c r="BO4" s="19" t="s">
        <v>69</v>
      </c>
      <c r="BP4" s="137">
        <v>216069.0</v>
      </c>
      <c r="BQ4" s="137">
        <v>33524.0</v>
      </c>
      <c r="BR4" s="19" t="s">
        <v>69</v>
      </c>
      <c r="BS4" s="137">
        <v>28314.0</v>
      </c>
      <c r="BT4" s="19">
        <v>0.0</v>
      </c>
      <c r="BU4" s="137">
        <v>61838.0</v>
      </c>
      <c r="BV4" s="137" t="s">
        <v>69</v>
      </c>
      <c r="BW4" s="138">
        <v>44197.0</v>
      </c>
      <c r="BX4" s="137">
        <v>216069.0</v>
      </c>
      <c r="BY4" s="137">
        <v>171872.0</v>
      </c>
      <c r="BZ4" s="32">
        <v>0.25</v>
      </c>
      <c r="CA4" s="31">
        <v>1182.0</v>
      </c>
      <c r="CB4" s="34">
        <v>8394.0</v>
      </c>
      <c r="CC4" s="34">
        <v>34931.0</v>
      </c>
      <c r="CD4" s="34">
        <v>26538.0</v>
      </c>
      <c r="CE4" s="33">
        <v>334284.0</v>
      </c>
      <c r="CF4" s="34">
        <v>1391171.0</v>
      </c>
      <c r="CG4" s="34">
        <v>1056887.0</v>
      </c>
      <c r="CH4" s="34">
        <v>860764.0</v>
      </c>
      <c r="CI4" s="34">
        <v>1620771.0</v>
      </c>
      <c r="CJ4" s="34">
        <v>760007.0</v>
      </c>
      <c r="CK4" s="34">
        <v>-760007.0</v>
      </c>
      <c r="CL4" s="139">
        <v>0.0</v>
      </c>
    </row>
    <row r="5" ht="14.25" customHeight="1">
      <c r="A5" s="11" t="s">
        <v>173</v>
      </c>
      <c r="C5" s="43"/>
      <c r="D5" s="13"/>
      <c r="E5" s="13"/>
      <c r="F5" s="42"/>
      <c r="G5" s="13"/>
      <c r="H5" s="12"/>
      <c r="I5" s="14" t="s">
        <v>174</v>
      </c>
      <c r="J5" s="42" t="s">
        <v>121</v>
      </c>
      <c r="K5" s="13" t="s">
        <v>115</v>
      </c>
      <c r="L5" s="11" t="s">
        <v>173</v>
      </c>
      <c r="M5" s="13" t="s">
        <v>62</v>
      </c>
      <c r="N5" s="13" t="s">
        <v>63</v>
      </c>
      <c r="O5" s="15">
        <v>8000.0</v>
      </c>
      <c r="P5" s="5" t="s">
        <v>116</v>
      </c>
      <c r="Q5" s="43" t="s">
        <v>84</v>
      </c>
      <c r="R5" s="19">
        <v>100.0</v>
      </c>
      <c r="S5" s="44" t="s">
        <v>69</v>
      </c>
      <c r="T5" s="16" t="s">
        <v>66</v>
      </c>
      <c r="U5" s="17">
        <v>2.01</v>
      </c>
      <c r="V5" s="18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9">
        <v>83.07</v>
      </c>
      <c r="AB5" s="21">
        <v>10.0</v>
      </c>
      <c r="AC5" s="19">
        <v>2.5</v>
      </c>
      <c r="AD5" s="19">
        <v>6.0</v>
      </c>
      <c r="AE5" s="19">
        <v>7.8</v>
      </c>
      <c r="AF5" s="22">
        <v>0.0</v>
      </c>
      <c r="AG5" s="23" t="s">
        <v>69</v>
      </c>
      <c r="AH5" s="24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27">
        <v>0.0</v>
      </c>
      <c r="AP5" s="23" t="s">
        <v>69</v>
      </c>
      <c r="AQ5" s="23" t="s">
        <v>69</v>
      </c>
      <c r="AR5" s="23" t="s">
        <v>69</v>
      </c>
      <c r="AS5" s="23" t="s">
        <v>69</v>
      </c>
      <c r="AT5" s="23" t="s">
        <v>69</v>
      </c>
      <c r="AU5" s="23" t="s">
        <v>69</v>
      </c>
      <c r="AV5" s="23" t="s">
        <v>69</v>
      </c>
      <c r="AW5" s="23" t="s">
        <v>69</v>
      </c>
      <c r="AX5" s="23" t="s">
        <v>69</v>
      </c>
      <c r="AY5" s="23" t="s">
        <v>69</v>
      </c>
      <c r="AZ5" s="23" t="s">
        <v>69</v>
      </c>
      <c r="BA5" s="23" t="s">
        <v>69</v>
      </c>
      <c r="BB5" s="23" t="s">
        <v>69</v>
      </c>
      <c r="BC5" s="47">
        <v>0.0</v>
      </c>
      <c r="BD5" s="48" t="s">
        <v>168</v>
      </c>
      <c r="BE5" s="49">
        <v>1.0</v>
      </c>
      <c r="BF5" s="50">
        <v>10.0</v>
      </c>
      <c r="BG5" s="51" t="s">
        <v>72</v>
      </c>
      <c r="BH5" s="52">
        <v>0.0</v>
      </c>
      <c r="BI5" s="14" t="s">
        <v>174</v>
      </c>
      <c r="BJ5" s="142">
        <v>80.0</v>
      </c>
      <c r="BK5" s="145">
        <v>26.0</v>
      </c>
      <c r="BL5" s="143" t="s">
        <v>69</v>
      </c>
      <c r="BM5" s="144">
        <v>-140615.0</v>
      </c>
      <c r="BN5" s="145">
        <v>215242.0</v>
      </c>
      <c r="BO5" s="19" t="s">
        <v>69</v>
      </c>
      <c r="BP5" s="137">
        <v>215242.0</v>
      </c>
      <c r="BQ5" s="137">
        <v>34351.0</v>
      </c>
      <c r="BR5" s="19" t="s">
        <v>69</v>
      </c>
      <c r="BS5" s="137">
        <v>30289.0</v>
      </c>
      <c r="BT5" s="19">
        <v>0.0</v>
      </c>
      <c r="BU5" s="137">
        <v>64641.0</v>
      </c>
      <c r="BV5" s="137" t="s">
        <v>69</v>
      </c>
      <c r="BW5" s="138">
        <v>44197.0</v>
      </c>
      <c r="BX5" s="137">
        <v>215242.0</v>
      </c>
      <c r="BY5" s="137">
        <v>171045.0</v>
      </c>
      <c r="BZ5" s="32">
        <v>0.26</v>
      </c>
      <c r="CA5" s="13">
        <v>470.0</v>
      </c>
      <c r="CB5" s="34">
        <v>8394.0</v>
      </c>
      <c r="CC5" s="34">
        <v>34503.0</v>
      </c>
      <c r="CD5" s="34">
        <v>26109.0</v>
      </c>
      <c r="CE5" s="33">
        <v>101431.0</v>
      </c>
      <c r="CF5" s="34">
        <v>416945.0</v>
      </c>
      <c r="CG5" s="34">
        <v>315514.0</v>
      </c>
      <c r="CH5" s="33">
        <v>297130.0</v>
      </c>
      <c r="CI5" s="34">
        <v>437745.0</v>
      </c>
      <c r="CJ5" s="34">
        <v>140615.0</v>
      </c>
      <c r="CK5" s="34">
        <v>-140615.0</v>
      </c>
      <c r="CL5" s="139">
        <v>0.0</v>
      </c>
    </row>
    <row r="6" ht="14.25" customHeight="1">
      <c r="A6" s="11" t="s">
        <v>175</v>
      </c>
      <c r="D6" s="39"/>
      <c r="E6" s="13"/>
      <c r="F6" s="42"/>
      <c r="G6" s="73"/>
      <c r="H6" s="5"/>
      <c r="I6" s="76" t="s">
        <v>176</v>
      </c>
      <c r="J6" s="42" t="s">
        <v>121</v>
      </c>
      <c r="K6" s="13" t="s">
        <v>115</v>
      </c>
      <c r="L6" s="11" t="s">
        <v>175</v>
      </c>
      <c r="M6" s="5" t="s">
        <v>62</v>
      </c>
      <c r="N6" s="13" t="s">
        <v>63</v>
      </c>
      <c r="O6" s="15">
        <v>8000.0</v>
      </c>
      <c r="P6" s="5" t="s">
        <v>116</v>
      </c>
      <c r="Q6" s="39" t="s">
        <v>85</v>
      </c>
      <c r="R6" s="74" t="s">
        <v>69</v>
      </c>
      <c r="S6" s="5">
        <v>0.06713</v>
      </c>
      <c r="T6" s="16" t="s">
        <v>66</v>
      </c>
      <c r="U6" s="75">
        <v>2.01</v>
      </c>
      <c r="V6" s="18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5">
        <v>83.07</v>
      </c>
      <c r="AB6" s="21">
        <v>25.0</v>
      </c>
      <c r="AC6" s="5">
        <v>2.5</v>
      </c>
      <c r="AD6" s="5">
        <v>6.0</v>
      </c>
      <c r="AE6" s="19">
        <v>7.8</v>
      </c>
      <c r="AF6" s="22">
        <v>0.0</v>
      </c>
      <c r="AG6" s="23" t="s">
        <v>69</v>
      </c>
      <c r="AH6" s="24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27">
        <v>0.0</v>
      </c>
      <c r="AP6" s="23" t="s">
        <v>69</v>
      </c>
      <c r="AQ6" s="23" t="s">
        <v>69</v>
      </c>
      <c r="AR6" s="23" t="s">
        <v>69</v>
      </c>
      <c r="AS6" s="23" t="s">
        <v>69</v>
      </c>
      <c r="AT6" s="23" t="s">
        <v>69</v>
      </c>
      <c r="AU6" s="23" t="s">
        <v>69</v>
      </c>
      <c r="AV6" s="23" t="s">
        <v>69</v>
      </c>
      <c r="AW6" s="23" t="s">
        <v>69</v>
      </c>
      <c r="AX6" s="23" t="s">
        <v>69</v>
      </c>
      <c r="AY6" s="23" t="s">
        <v>69</v>
      </c>
      <c r="AZ6" s="23" t="s">
        <v>69</v>
      </c>
      <c r="BA6" s="23" t="s">
        <v>69</v>
      </c>
      <c r="BB6" s="23" t="s">
        <v>69</v>
      </c>
      <c r="BC6" s="47">
        <v>0.0</v>
      </c>
      <c r="BD6" s="48" t="s">
        <v>168</v>
      </c>
      <c r="BE6" s="49">
        <v>1.0</v>
      </c>
      <c r="BF6" s="50">
        <v>10.0</v>
      </c>
      <c r="BG6" s="51" t="s">
        <v>72</v>
      </c>
      <c r="BH6" s="52">
        <v>0.0</v>
      </c>
      <c r="BI6" s="76" t="s">
        <v>176</v>
      </c>
      <c r="BJ6" s="142">
        <v>80.0</v>
      </c>
      <c r="BK6" s="145">
        <v>26.0</v>
      </c>
      <c r="BL6" s="143" t="s">
        <v>69</v>
      </c>
      <c r="BM6" s="144">
        <v>-852242.0</v>
      </c>
      <c r="BN6" s="145">
        <v>216069.0</v>
      </c>
      <c r="BO6" s="19" t="s">
        <v>69</v>
      </c>
      <c r="BP6" s="145">
        <v>216069.0</v>
      </c>
      <c r="BQ6" s="137">
        <v>33524.0</v>
      </c>
      <c r="BR6" s="19" t="s">
        <v>69</v>
      </c>
      <c r="BS6" s="137">
        <v>28314.0</v>
      </c>
      <c r="BT6" s="19">
        <v>0.0</v>
      </c>
      <c r="BU6" s="137">
        <v>61838.0</v>
      </c>
      <c r="BV6" s="137" t="s">
        <v>69</v>
      </c>
      <c r="BW6" s="138">
        <v>44197.0</v>
      </c>
      <c r="BX6" s="137">
        <v>216069.0</v>
      </c>
      <c r="BY6" s="137">
        <v>171872.0</v>
      </c>
      <c r="BZ6" s="32">
        <v>0.25</v>
      </c>
      <c r="CA6" s="31">
        <v>1182.0</v>
      </c>
      <c r="CB6" s="34">
        <v>8394.0</v>
      </c>
      <c r="CC6" s="34">
        <v>37247.0</v>
      </c>
      <c r="CD6" s="34">
        <v>28854.0</v>
      </c>
      <c r="CE6" s="33">
        <v>334284.0</v>
      </c>
      <c r="CF6" s="34">
        <v>1483406.0</v>
      </c>
      <c r="CG6" s="34">
        <v>1149122.0</v>
      </c>
      <c r="CH6" s="34">
        <v>860764.0</v>
      </c>
      <c r="CI6" s="34">
        <v>1713006.0</v>
      </c>
      <c r="CJ6" s="34">
        <v>852242.0</v>
      </c>
      <c r="CK6" s="34">
        <v>-852242.0</v>
      </c>
      <c r="CL6" s="139">
        <v>0.0</v>
      </c>
    </row>
    <row r="7" ht="14.25" customHeight="1">
      <c r="A7" s="11" t="s">
        <v>177</v>
      </c>
      <c r="B7" s="81"/>
      <c r="C7" s="81"/>
      <c r="D7" s="82"/>
      <c r="E7" s="83"/>
      <c r="F7" s="84"/>
      <c r="G7" s="81"/>
      <c r="H7" s="85"/>
      <c r="I7" s="125" t="s">
        <v>178</v>
      </c>
      <c r="J7" s="42" t="s">
        <v>121</v>
      </c>
      <c r="K7" s="83" t="s">
        <v>115</v>
      </c>
      <c r="L7" s="11" t="s">
        <v>177</v>
      </c>
      <c r="M7" s="81" t="s">
        <v>62</v>
      </c>
      <c r="N7" s="83" t="s">
        <v>63</v>
      </c>
      <c r="O7" s="87">
        <v>8000.0</v>
      </c>
      <c r="P7" s="83" t="s">
        <v>116</v>
      </c>
      <c r="Q7" s="82" t="s">
        <v>85</v>
      </c>
      <c r="R7" s="88" t="s">
        <v>69</v>
      </c>
      <c r="S7" s="81">
        <v>0.06713</v>
      </c>
      <c r="T7" s="89" t="s">
        <v>66</v>
      </c>
      <c r="U7" s="90">
        <v>2.01</v>
      </c>
      <c r="V7" s="91" t="s">
        <v>67</v>
      </c>
      <c r="W7" s="92">
        <v>2024.0</v>
      </c>
      <c r="X7" s="93" t="s">
        <v>68</v>
      </c>
      <c r="Y7" s="81">
        <v>100.0</v>
      </c>
      <c r="Z7" s="92">
        <v>2024.0</v>
      </c>
      <c r="AA7" s="81">
        <v>83.07</v>
      </c>
      <c r="AB7" s="94">
        <v>10.0</v>
      </c>
      <c r="AC7" s="81">
        <v>2.5</v>
      </c>
      <c r="AD7" s="81">
        <v>6.0</v>
      </c>
      <c r="AE7" s="92">
        <v>7.8</v>
      </c>
      <c r="AF7" s="95">
        <v>0.0</v>
      </c>
      <c r="AG7" s="96" t="s">
        <v>69</v>
      </c>
      <c r="AH7" s="97" t="s">
        <v>70</v>
      </c>
      <c r="AI7" s="98">
        <v>0.0</v>
      </c>
      <c r="AJ7" s="95" t="s">
        <v>71</v>
      </c>
      <c r="AK7" s="95">
        <v>335.4</v>
      </c>
      <c r="AL7" s="95">
        <v>10.7</v>
      </c>
      <c r="AM7" s="95">
        <v>0.0</v>
      </c>
      <c r="AN7" s="99" t="s">
        <v>72</v>
      </c>
      <c r="AO7" s="100">
        <v>0.0</v>
      </c>
      <c r="AP7" s="96" t="s">
        <v>69</v>
      </c>
      <c r="AQ7" s="96" t="s">
        <v>69</v>
      </c>
      <c r="AR7" s="96" t="s">
        <v>69</v>
      </c>
      <c r="AS7" s="96" t="s">
        <v>69</v>
      </c>
      <c r="AT7" s="96" t="s">
        <v>69</v>
      </c>
      <c r="AU7" s="96" t="s">
        <v>69</v>
      </c>
      <c r="AV7" s="96" t="s">
        <v>69</v>
      </c>
      <c r="AW7" s="96" t="s">
        <v>69</v>
      </c>
      <c r="AX7" s="96" t="s">
        <v>69</v>
      </c>
      <c r="AY7" s="96" t="s">
        <v>69</v>
      </c>
      <c r="AZ7" s="96" t="s">
        <v>69</v>
      </c>
      <c r="BA7" s="96" t="s">
        <v>69</v>
      </c>
      <c r="BB7" s="96" t="s">
        <v>69</v>
      </c>
      <c r="BC7" s="101">
        <v>0.0</v>
      </c>
      <c r="BD7" s="127" t="s">
        <v>168</v>
      </c>
      <c r="BE7" s="103">
        <v>1.0</v>
      </c>
      <c r="BF7" s="104">
        <v>10.0</v>
      </c>
      <c r="BG7" s="105" t="s">
        <v>72</v>
      </c>
      <c r="BH7" s="106">
        <v>0.0</v>
      </c>
      <c r="BI7" s="125" t="s">
        <v>179</v>
      </c>
      <c r="BJ7" s="146">
        <v>80.0</v>
      </c>
      <c r="BK7" s="147">
        <v>26.0</v>
      </c>
      <c r="BL7" s="148" t="s">
        <v>69</v>
      </c>
      <c r="BM7" s="149">
        <v>-170554.0</v>
      </c>
      <c r="BN7" s="147">
        <v>215242.0</v>
      </c>
      <c r="BO7" s="92" t="s">
        <v>69</v>
      </c>
      <c r="BP7" s="150">
        <v>215242.0</v>
      </c>
      <c r="BQ7" s="150">
        <v>34351.0</v>
      </c>
      <c r="BR7" s="92" t="s">
        <v>69</v>
      </c>
      <c r="BS7" s="150">
        <v>30289.0</v>
      </c>
      <c r="BT7" s="92">
        <v>0.0</v>
      </c>
      <c r="BU7" s="150">
        <v>64641.0</v>
      </c>
      <c r="BV7" s="147" t="s">
        <v>69</v>
      </c>
      <c r="BW7" s="151">
        <v>44197.0</v>
      </c>
      <c r="BX7" s="150">
        <v>215242.0</v>
      </c>
      <c r="BY7" s="150">
        <v>171045.0</v>
      </c>
      <c r="BZ7" s="131">
        <v>0.26</v>
      </c>
      <c r="CA7" s="81">
        <v>470.0</v>
      </c>
      <c r="CB7" s="132">
        <v>8394.0</v>
      </c>
      <c r="CC7" s="132">
        <v>36981.0</v>
      </c>
      <c r="CD7" s="152">
        <v>28587.0</v>
      </c>
      <c r="CE7" s="132">
        <v>101431.0</v>
      </c>
      <c r="CF7" s="132">
        <v>446884.0</v>
      </c>
      <c r="CG7" s="152">
        <v>345453.0</v>
      </c>
      <c r="CH7" s="132">
        <v>297130.0</v>
      </c>
      <c r="CI7" s="132">
        <v>467684.0</v>
      </c>
      <c r="CJ7" s="152">
        <v>170554.0</v>
      </c>
      <c r="CK7" s="132">
        <v>-170554.0</v>
      </c>
      <c r="CL7" s="153">
        <v>0.0</v>
      </c>
    </row>
    <row r="8" ht="14.25" customHeight="1"/>
    <row r="9" ht="14.25" customHeight="1">
      <c r="A9" s="119" t="s">
        <v>180</v>
      </c>
      <c r="E9" s="154"/>
    </row>
    <row r="10" ht="14.25" customHeight="1">
      <c r="A10" s="119"/>
    </row>
    <row r="11" ht="14.25" customHeight="1">
      <c r="C11" s="5" t="s">
        <v>127</v>
      </c>
      <c r="D11" s="5" t="s">
        <v>128</v>
      </c>
      <c r="E11" s="5" t="s">
        <v>129</v>
      </c>
    </row>
    <row r="12" ht="14.25" customHeight="1">
      <c r="A12" s="5" t="s">
        <v>166</v>
      </c>
      <c r="B12" s="5" t="s">
        <v>130</v>
      </c>
      <c r="C12" s="33">
        <v>913453.0</v>
      </c>
      <c r="D12" s="33">
        <v>36156.0</v>
      </c>
      <c r="E12" s="120">
        <v>0.0</v>
      </c>
    </row>
    <row r="13" ht="14.25" customHeight="1">
      <c r="A13" s="5" t="s">
        <v>169</v>
      </c>
      <c r="B13" s="5" t="s">
        <v>131</v>
      </c>
      <c r="C13" s="33">
        <v>241218.0</v>
      </c>
      <c r="D13" s="33">
        <v>36156.0</v>
      </c>
      <c r="E13" s="120">
        <v>0.0</v>
      </c>
    </row>
    <row r="14" ht="14.25" customHeight="1">
      <c r="A14" s="5" t="s">
        <v>171</v>
      </c>
      <c r="B14" s="5" t="s">
        <v>132</v>
      </c>
      <c r="C14" s="33">
        <v>760007.0</v>
      </c>
      <c r="D14" s="33">
        <v>26538.0</v>
      </c>
      <c r="E14" s="120">
        <v>0.25</v>
      </c>
    </row>
    <row r="15" ht="14.25" customHeight="1">
      <c r="A15" s="5" t="s">
        <v>175</v>
      </c>
      <c r="B15" s="5" t="s">
        <v>134</v>
      </c>
      <c r="C15" s="33">
        <v>852242.0</v>
      </c>
      <c r="D15" s="33">
        <v>28854.0</v>
      </c>
      <c r="E15" s="120">
        <v>0.25</v>
      </c>
    </row>
    <row r="16" ht="14.25" customHeight="1">
      <c r="A16" s="5" t="s">
        <v>177</v>
      </c>
      <c r="B16" s="5" t="s">
        <v>135</v>
      </c>
      <c r="C16" s="33">
        <v>170554.0</v>
      </c>
      <c r="D16" s="33">
        <v>28587.0</v>
      </c>
      <c r="E16" s="120">
        <v>0.26</v>
      </c>
    </row>
    <row r="17" ht="14.25" customHeight="1"/>
    <row r="18" ht="14.25" customHeight="1">
      <c r="C18" s="5" t="s">
        <v>127</v>
      </c>
      <c r="D18" s="5" t="s">
        <v>128</v>
      </c>
      <c r="E18" s="5" t="s">
        <v>129</v>
      </c>
      <c r="F18" s="5" t="s">
        <v>181</v>
      </c>
    </row>
    <row r="19" ht="14.25" customHeight="1">
      <c r="A19" s="13" t="s">
        <v>166</v>
      </c>
      <c r="B19" s="13" t="s">
        <v>86</v>
      </c>
      <c r="C19" s="47">
        <v>913453.0</v>
      </c>
      <c r="D19" s="47">
        <v>36156.0</v>
      </c>
      <c r="E19" s="121">
        <v>0.0</v>
      </c>
    </row>
    <row r="20" ht="14.25" customHeight="1">
      <c r="A20" s="13" t="s">
        <v>171</v>
      </c>
      <c r="B20" s="13" t="s">
        <v>84</v>
      </c>
      <c r="C20" s="47">
        <v>760007.0</v>
      </c>
      <c r="D20" s="47">
        <v>26538.0</v>
      </c>
      <c r="E20" s="121">
        <v>0.25</v>
      </c>
    </row>
    <row r="21" ht="14.25" customHeight="1">
      <c r="A21" s="13" t="s">
        <v>175</v>
      </c>
      <c r="B21" s="13" t="s">
        <v>85</v>
      </c>
      <c r="C21" s="47">
        <v>852242.0</v>
      </c>
      <c r="D21" s="47">
        <v>28854.0</v>
      </c>
      <c r="E21" s="121">
        <v>0.25</v>
      </c>
    </row>
    <row r="22" ht="14.25" customHeight="1"/>
    <row r="23" ht="14.25" customHeight="1">
      <c r="C23" s="5" t="s">
        <v>127</v>
      </c>
      <c r="D23" s="5" t="s">
        <v>128</v>
      </c>
      <c r="E23" s="5" t="s">
        <v>129</v>
      </c>
    </row>
    <row r="24" ht="14.25" customHeight="1">
      <c r="A24" s="13" t="s">
        <v>166</v>
      </c>
      <c r="B24" s="44" t="s">
        <v>86</v>
      </c>
      <c r="C24" s="47">
        <v>241218.0</v>
      </c>
      <c r="D24" s="47">
        <v>36156.0</v>
      </c>
      <c r="E24" s="121">
        <v>0.0</v>
      </c>
    </row>
    <row r="25" ht="14.25" customHeight="1">
      <c r="A25" s="13" t="s">
        <v>171</v>
      </c>
      <c r="B25" s="13" t="s">
        <v>84</v>
      </c>
      <c r="C25" s="47">
        <v>140615.0</v>
      </c>
      <c r="D25" s="47">
        <v>26109.0</v>
      </c>
      <c r="E25" s="121">
        <v>0.26</v>
      </c>
    </row>
    <row r="26" ht="14.25" customHeight="1">
      <c r="A26" s="13" t="s">
        <v>175</v>
      </c>
      <c r="B26" s="13" t="s">
        <v>85</v>
      </c>
      <c r="C26" s="47">
        <v>170554.0</v>
      </c>
      <c r="D26" s="47">
        <v>28587.0</v>
      </c>
      <c r="E26" s="121">
        <v>0.26</v>
      </c>
    </row>
    <row r="27" ht="14.25" customHeight="1"/>
    <row r="28" ht="14.25" customHeight="1"/>
    <row r="29" ht="14.25" customHeight="1">
      <c r="F29" s="74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</hyperlinks>
  <printOptions/>
  <pageMargins bottom="0.75" footer="0.0" header="0.0" left="0.7" right="0.7" top="0.75"/>
  <pageSetup orientation="landscape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5"/>
    <col customWidth="1" min="2" max="4" width="13.38"/>
    <col customWidth="1" min="5" max="5" width="12.88"/>
    <col customWidth="1" min="6" max="6" width="12.0"/>
    <col customWidth="1" min="7" max="9" width="14.25"/>
    <col customWidth="1" min="10" max="10" width="17.0"/>
    <col customWidth="1" min="11" max="11" width="23.88"/>
    <col customWidth="1" min="12" max="12" width="48.63"/>
    <col customWidth="1" min="13" max="13" width="19.38"/>
    <col customWidth="1" min="14" max="14" width="17.0"/>
    <col customWidth="1" min="15" max="15" width="13.75"/>
    <col customWidth="1" min="16" max="16" width="14.75"/>
    <col customWidth="1" min="17" max="17" width="14.0"/>
    <col customWidth="1" min="18" max="19" width="13.13"/>
    <col customWidth="1" min="20" max="20" width="17.0"/>
    <col customWidth="1" min="21" max="21" width="14.38"/>
    <col customWidth="1" min="22" max="26" width="8.63"/>
    <col customWidth="1" min="27" max="27" width="15.5"/>
    <col customWidth="1" min="28" max="28" width="8.63"/>
    <col customWidth="1" min="29" max="29" width="15.0"/>
    <col customWidth="1" min="30" max="30" width="14.5"/>
    <col customWidth="1" min="31" max="31" width="17.0"/>
    <col customWidth="1" min="32" max="33" width="10.38"/>
    <col customWidth="1" min="34" max="34" width="17.38"/>
    <col customWidth="1" min="35" max="35" width="10.38"/>
    <col customWidth="1" min="36" max="36" width="13.13"/>
    <col customWidth="1" min="37" max="38" width="10.38"/>
    <col customWidth="1" min="39" max="41" width="14.5"/>
    <col customWidth="1" min="42" max="42" width="11.38"/>
    <col customWidth="1" min="43" max="43" width="10.13"/>
    <col customWidth="1" min="44" max="44" width="9.13"/>
    <col customWidth="1" min="45" max="46" width="14.38"/>
    <col customWidth="1" min="47" max="55" width="14.25"/>
    <col customWidth="1" min="56" max="56" width="9.13"/>
    <col customWidth="1" min="57" max="57" width="9.75"/>
    <col customWidth="1" min="58" max="60" width="14.63"/>
    <col customWidth="1" min="61" max="61" width="101.38"/>
    <col customWidth="1" min="62" max="62" width="10.0"/>
    <col customWidth="1" min="63" max="64" width="10.13"/>
    <col customWidth="1" min="65" max="65" width="9.25"/>
    <col customWidth="1" min="66" max="66" width="8.63"/>
    <col customWidth="1" min="67" max="69" width="11.0"/>
    <col customWidth="1" min="70" max="70" width="11.88"/>
    <col customWidth="1" min="71" max="72" width="10.63"/>
    <col customWidth="1" min="73" max="73" width="12.75"/>
    <col customWidth="1" min="74" max="74" width="11.38"/>
    <col customWidth="1" min="75" max="75" width="14.88"/>
    <col customWidth="1" min="76" max="76" width="15.0"/>
    <col customWidth="1" min="77" max="77" width="15.25"/>
    <col customWidth="1" min="78" max="78" width="18.25"/>
    <col customWidth="1" min="79" max="79" width="15.25"/>
    <col customWidth="1" min="80" max="80" width="10.88"/>
    <col customWidth="1" min="81" max="87" width="10.0"/>
    <col customWidth="1" min="88" max="89" width="10.63"/>
    <col customWidth="1" min="90" max="90" width="10.88"/>
  </cols>
  <sheetData>
    <row r="1" ht="54.0" customHeight="1">
      <c r="A1" s="155" t="s">
        <v>0</v>
      </c>
      <c r="B1" s="1" t="s">
        <v>182</v>
      </c>
      <c r="C1" s="35" t="s">
        <v>183</v>
      </c>
      <c r="D1" s="156" t="s">
        <v>184</v>
      </c>
      <c r="E1" s="1" t="s">
        <v>84</v>
      </c>
      <c r="F1" s="157" t="s">
        <v>85</v>
      </c>
      <c r="G1" s="158" t="s">
        <v>1</v>
      </c>
      <c r="H1" s="159" t="s">
        <v>2</v>
      </c>
      <c r="I1" s="160" t="s">
        <v>3</v>
      </c>
      <c r="J1" s="161" t="s">
        <v>4</v>
      </c>
      <c r="K1" s="36" t="s">
        <v>88</v>
      </c>
      <c r="L1" s="158" t="s">
        <v>5</v>
      </c>
      <c r="M1" s="2" t="s">
        <v>6</v>
      </c>
      <c r="N1" s="2" t="s">
        <v>7</v>
      </c>
      <c r="O1" s="159" t="s">
        <v>8</v>
      </c>
      <c r="P1" s="161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36" t="s">
        <v>12</v>
      </c>
      <c r="V1" s="158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159" t="s">
        <v>17</v>
      </c>
      <c r="AB1" s="161" t="s">
        <v>18</v>
      </c>
      <c r="AC1" s="4" t="s">
        <v>19</v>
      </c>
      <c r="AD1" s="4" t="s">
        <v>20</v>
      </c>
      <c r="AE1" s="4" t="s">
        <v>21</v>
      </c>
      <c r="AF1" s="36" t="s">
        <v>22</v>
      </c>
      <c r="AG1" s="2" t="s">
        <v>23</v>
      </c>
      <c r="AH1" s="161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36" t="s">
        <v>31</v>
      </c>
      <c r="AP1" s="158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159" t="s">
        <v>31</v>
      </c>
      <c r="BC1" s="161" t="s">
        <v>101</v>
      </c>
      <c r="BD1" s="4" t="s">
        <v>102</v>
      </c>
      <c r="BE1" s="4" t="s">
        <v>103</v>
      </c>
      <c r="BF1" s="4" t="s">
        <v>104</v>
      </c>
      <c r="BG1" s="37" t="s">
        <v>30</v>
      </c>
      <c r="BH1" s="162" t="s">
        <v>31</v>
      </c>
      <c r="BI1" s="163" t="s">
        <v>3</v>
      </c>
      <c r="BJ1" s="6" t="s">
        <v>32</v>
      </c>
      <c r="BK1" s="38" t="s">
        <v>33</v>
      </c>
      <c r="BL1" s="38" t="s">
        <v>105</v>
      </c>
      <c r="BM1" s="8" t="s">
        <v>34</v>
      </c>
      <c r="BN1" s="9" t="s">
        <v>35</v>
      </c>
      <c r="BO1" s="9" t="s">
        <v>36</v>
      </c>
      <c r="BP1" s="9" t="s">
        <v>37</v>
      </c>
      <c r="BQ1" s="9" t="s">
        <v>38</v>
      </c>
      <c r="BR1" s="9" t="s">
        <v>39</v>
      </c>
      <c r="BS1" s="9" t="s">
        <v>40</v>
      </c>
      <c r="BT1" s="9" t="s">
        <v>41</v>
      </c>
      <c r="BU1" s="9" t="s">
        <v>42</v>
      </c>
      <c r="BV1" s="9" t="s">
        <v>43</v>
      </c>
      <c r="BW1" s="10" t="s">
        <v>44</v>
      </c>
      <c r="BX1" s="10" t="s">
        <v>159</v>
      </c>
      <c r="BY1" s="10" t="s">
        <v>46</v>
      </c>
      <c r="BZ1" s="10" t="s">
        <v>185</v>
      </c>
      <c r="CA1" s="10" t="s">
        <v>160</v>
      </c>
      <c r="CB1" s="10" t="s">
        <v>49</v>
      </c>
      <c r="CC1" s="10" t="s">
        <v>161</v>
      </c>
      <c r="CD1" s="10" t="s">
        <v>51</v>
      </c>
      <c r="CE1" s="10" t="s">
        <v>52</v>
      </c>
      <c r="CF1" s="10" t="s">
        <v>162</v>
      </c>
      <c r="CG1" s="10" t="s">
        <v>54</v>
      </c>
      <c r="CH1" s="10" t="s">
        <v>109</v>
      </c>
      <c r="CI1" s="10" t="s">
        <v>163</v>
      </c>
      <c r="CJ1" s="10" t="s">
        <v>111</v>
      </c>
      <c r="CK1" s="10" t="s">
        <v>164</v>
      </c>
      <c r="CL1" s="10" t="s">
        <v>165</v>
      </c>
    </row>
    <row r="2" ht="14.25" customHeight="1">
      <c r="A2" s="164" t="s">
        <v>186</v>
      </c>
      <c r="B2" s="165"/>
      <c r="C2" s="24"/>
      <c r="D2" s="24"/>
      <c r="E2" s="166"/>
      <c r="F2" s="139"/>
      <c r="G2" s="167"/>
      <c r="H2" s="139"/>
      <c r="I2" s="168" t="s">
        <v>187</v>
      </c>
      <c r="J2" s="169" t="s">
        <v>188</v>
      </c>
      <c r="K2" s="139" t="s">
        <v>115</v>
      </c>
      <c r="L2" s="11" t="s">
        <v>186</v>
      </c>
      <c r="M2" s="13" t="s">
        <v>62</v>
      </c>
      <c r="N2" s="13" t="s">
        <v>63</v>
      </c>
      <c r="O2" s="170">
        <v>8000.0</v>
      </c>
      <c r="P2" s="171" t="s">
        <v>116</v>
      </c>
      <c r="Q2" s="43" t="s">
        <v>84</v>
      </c>
      <c r="R2" s="19">
        <v>100.0</v>
      </c>
      <c r="S2" s="44" t="s">
        <v>69</v>
      </c>
      <c r="T2" s="16" t="s">
        <v>66</v>
      </c>
      <c r="U2" s="172">
        <v>2.01</v>
      </c>
      <c r="V2" s="173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74">
        <v>83.07</v>
      </c>
      <c r="AB2" s="175">
        <v>25.0</v>
      </c>
      <c r="AC2" s="19">
        <v>2.5</v>
      </c>
      <c r="AD2" s="19">
        <v>6.0</v>
      </c>
      <c r="AE2" s="19">
        <v>7.8</v>
      </c>
      <c r="AF2" s="176">
        <v>0.0</v>
      </c>
      <c r="AG2" s="23" t="s">
        <v>69</v>
      </c>
      <c r="AH2" s="169" t="s">
        <v>70</v>
      </c>
      <c r="AI2" s="25">
        <v>2220.0</v>
      </c>
      <c r="AJ2" s="22" t="s">
        <v>71</v>
      </c>
      <c r="AK2" s="22">
        <v>335.4</v>
      </c>
      <c r="AL2" s="22">
        <v>10.7</v>
      </c>
      <c r="AM2" s="22">
        <v>0.0</v>
      </c>
      <c r="AN2" s="26" t="s">
        <v>72</v>
      </c>
      <c r="AO2" s="177">
        <v>0.0</v>
      </c>
      <c r="AP2" s="178">
        <v>495.0</v>
      </c>
      <c r="AQ2" s="179">
        <v>665.0</v>
      </c>
      <c r="AR2" s="179">
        <v>8066.0</v>
      </c>
      <c r="AS2" s="180">
        <v>10.0</v>
      </c>
      <c r="AT2" s="180">
        <v>10.0</v>
      </c>
      <c r="AU2" s="179">
        <f t="shared" ref="AU2:AW2" si="1">0.7*AP2</f>
        <v>346.5</v>
      </c>
      <c r="AV2" s="179">
        <f t="shared" si="1"/>
        <v>465.5</v>
      </c>
      <c r="AW2" s="179">
        <f t="shared" si="1"/>
        <v>5646.2</v>
      </c>
      <c r="AX2" s="181">
        <v>10.0</v>
      </c>
      <c r="AY2" s="181">
        <v>10.0</v>
      </c>
      <c r="AZ2" s="182">
        <v>0.0</v>
      </c>
      <c r="BA2" s="51" t="s">
        <v>72</v>
      </c>
      <c r="BB2" s="177">
        <v>0.0</v>
      </c>
      <c r="BC2" s="144">
        <v>0.0</v>
      </c>
      <c r="BD2" s="48" t="s">
        <v>118</v>
      </c>
      <c r="BE2" s="49">
        <v>1.0</v>
      </c>
      <c r="BF2" s="183">
        <v>10.0</v>
      </c>
      <c r="BG2" s="51" t="s">
        <v>72</v>
      </c>
      <c r="BH2" s="177">
        <v>0.0</v>
      </c>
      <c r="BI2" s="168" t="s">
        <v>189</v>
      </c>
      <c r="BJ2" s="133"/>
      <c r="BK2" s="134"/>
      <c r="BL2" s="184"/>
      <c r="BM2" s="144">
        <v>32224.0</v>
      </c>
      <c r="BN2" s="137"/>
      <c r="BO2" s="137"/>
      <c r="BP2" s="137"/>
      <c r="BQ2" s="137"/>
      <c r="BR2" s="137"/>
      <c r="BS2" s="137"/>
      <c r="BT2" s="137"/>
      <c r="BU2" s="137"/>
      <c r="BV2" s="137"/>
      <c r="BW2" s="185"/>
      <c r="BX2" s="186"/>
      <c r="BY2" s="186"/>
      <c r="BZ2" s="187"/>
      <c r="CA2" s="188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90"/>
    </row>
    <row r="3" ht="14.25" customHeight="1">
      <c r="A3" s="164" t="s">
        <v>190</v>
      </c>
      <c r="B3" s="165"/>
      <c r="C3" s="24"/>
      <c r="D3" s="24"/>
      <c r="E3" s="166"/>
      <c r="F3" s="139"/>
      <c r="G3" s="124"/>
      <c r="H3" s="191"/>
      <c r="I3" s="168" t="s">
        <v>191</v>
      </c>
      <c r="J3" s="169" t="s">
        <v>188</v>
      </c>
      <c r="K3" s="139" t="s">
        <v>115</v>
      </c>
      <c r="L3" s="11" t="s">
        <v>190</v>
      </c>
      <c r="M3" s="13" t="s">
        <v>62</v>
      </c>
      <c r="N3" s="13" t="s">
        <v>63</v>
      </c>
      <c r="O3" s="170">
        <v>8000.0</v>
      </c>
      <c r="P3" s="171" t="s">
        <v>116</v>
      </c>
      <c r="Q3" s="43" t="s">
        <v>84</v>
      </c>
      <c r="R3" s="19">
        <v>100.0</v>
      </c>
      <c r="S3" s="44" t="s">
        <v>69</v>
      </c>
      <c r="T3" s="16" t="s">
        <v>66</v>
      </c>
      <c r="U3" s="172">
        <v>2.01</v>
      </c>
      <c r="V3" s="173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74">
        <v>83.07</v>
      </c>
      <c r="AB3" s="175">
        <v>10.0</v>
      </c>
      <c r="AC3" s="19">
        <v>2.5</v>
      </c>
      <c r="AD3" s="19">
        <v>6.0</v>
      </c>
      <c r="AE3" s="19">
        <v>7.8</v>
      </c>
      <c r="AF3" s="176">
        <v>0.0</v>
      </c>
      <c r="AG3" s="23" t="s">
        <v>69</v>
      </c>
      <c r="AH3" s="169" t="s">
        <v>70</v>
      </c>
      <c r="AI3" s="25">
        <v>0.0</v>
      </c>
      <c r="AJ3" s="22" t="s">
        <v>71</v>
      </c>
      <c r="AK3" s="22">
        <v>335.4</v>
      </c>
      <c r="AL3" s="22">
        <v>10.7</v>
      </c>
      <c r="AM3" s="22">
        <v>0.0</v>
      </c>
      <c r="AN3" s="26" t="s">
        <v>72</v>
      </c>
      <c r="AO3" s="177">
        <v>0.0</v>
      </c>
      <c r="AP3" s="178">
        <v>0.0</v>
      </c>
      <c r="AQ3" s="179">
        <v>0.0</v>
      </c>
      <c r="AR3" s="179">
        <v>0.0</v>
      </c>
      <c r="AS3" s="180">
        <v>10.0</v>
      </c>
      <c r="AT3" s="180">
        <v>10.0</v>
      </c>
      <c r="AU3" s="179">
        <f t="shared" ref="AU3:AW3" si="2">0.7*AP3</f>
        <v>0</v>
      </c>
      <c r="AV3" s="179">
        <f t="shared" si="2"/>
        <v>0</v>
      </c>
      <c r="AW3" s="179">
        <f t="shared" si="2"/>
        <v>0</v>
      </c>
      <c r="AX3" s="181">
        <v>10.0</v>
      </c>
      <c r="AY3" s="181">
        <v>10.0</v>
      </c>
      <c r="AZ3" s="182">
        <v>0.0</v>
      </c>
      <c r="BA3" s="51" t="s">
        <v>72</v>
      </c>
      <c r="BB3" s="177">
        <v>0.0</v>
      </c>
      <c r="BC3" s="144">
        <v>0.0</v>
      </c>
      <c r="BD3" s="48" t="s">
        <v>118</v>
      </c>
      <c r="BE3" s="49">
        <v>1.0</v>
      </c>
      <c r="BF3" s="183">
        <v>10.0</v>
      </c>
      <c r="BG3" s="51" t="s">
        <v>72</v>
      </c>
      <c r="BH3" s="177">
        <v>0.0</v>
      </c>
      <c r="BI3" s="168" t="s">
        <v>192</v>
      </c>
      <c r="BJ3" s="140"/>
      <c r="BK3" s="141"/>
      <c r="BL3" s="143"/>
      <c r="BM3" s="144">
        <v>112746.0</v>
      </c>
      <c r="BN3" s="137"/>
      <c r="BO3" s="137"/>
      <c r="BP3" s="137"/>
      <c r="BQ3" s="137"/>
      <c r="BR3" s="137"/>
      <c r="BS3" s="137"/>
      <c r="BT3" s="137"/>
      <c r="BU3" s="137"/>
      <c r="BV3" s="137"/>
      <c r="BW3" s="142"/>
      <c r="BX3" s="19"/>
      <c r="BY3" s="19"/>
      <c r="BZ3" s="32"/>
      <c r="CA3" s="13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139"/>
    </row>
    <row r="4" ht="14.25" customHeight="1">
      <c r="A4" s="164" t="s">
        <v>193</v>
      </c>
      <c r="B4" s="165"/>
      <c r="C4" s="24"/>
      <c r="D4" s="24"/>
      <c r="E4" s="171"/>
      <c r="F4" s="192"/>
      <c r="G4" s="167"/>
      <c r="H4" s="139"/>
      <c r="I4" s="168" t="s">
        <v>194</v>
      </c>
      <c r="J4" s="169" t="s">
        <v>188</v>
      </c>
      <c r="K4" s="139" t="s">
        <v>115</v>
      </c>
      <c r="L4" s="11" t="s">
        <v>193</v>
      </c>
      <c r="M4" s="13" t="s">
        <v>62</v>
      </c>
      <c r="N4" s="13" t="s">
        <v>63</v>
      </c>
      <c r="O4" s="170">
        <v>8000.0</v>
      </c>
      <c r="P4" s="171" t="s">
        <v>116</v>
      </c>
      <c r="Q4" s="39" t="s">
        <v>85</v>
      </c>
      <c r="R4" s="74" t="s">
        <v>69</v>
      </c>
      <c r="S4" s="5">
        <v>0.06713</v>
      </c>
      <c r="T4" s="16" t="s">
        <v>66</v>
      </c>
      <c r="U4" s="172">
        <v>2.01</v>
      </c>
      <c r="V4" s="173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74">
        <v>83.07</v>
      </c>
      <c r="AB4" s="175">
        <v>25.0</v>
      </c>
      <c r="AC4" s="19">
        <v>2.5</v>
      </c>
      <c r="AD4" s="19">
        <v>6.0</v>
      </c>
      <c r="AE4" s="19">
        <v>7.8</v>
      </c>
      <c r="AF4" s="176">
        <v>0.0</v>
      </c>
      <c r="AG4" s="23" t="s">
        <v>69</v>
      </c>
      <c r="AH4" s="169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177">
        <v>0.0</v>
      </c>
      <c r="AP4" s="178">
        <v>495.0</v>
      </c>
      <c r="AQ4" s="179">
        <v>665.0</v>
      </c>
      <c r="AR4" s="179">
        <v>8066.0</v>
      </c>
      <c r="AS4" s="180">
        <v>10.0</v>
      </c>
      <c r="AT4" s="180">
        <v>10.0</v>
      </c>
      <c r="AU4" s="179">
        <f t="shared" ref="AU4:AW4" si="3">0.7*AP4</f>
        <v>346.5</v>
      </c>
      <c r="AV4" s="179">
        <f t="shared" si="3"/>
        <v>465.5</v>
      </c>
      <c r="AW4" s="179">
        <f t="shared" si="3"/>
        <v>5646.2</v>
      </c>
      <c r="AX4" s="181">
        <v>10.0</v>
      </c>
      <c r="AY4" s="181">
        <v>10.0</v>
      </c>
      <c r="AZ4" s="182">
        <v>0.0</v>
      </c>
      <c r="BA4" s="51" t="s">
        <v>72</v>
      </c>
      <c r="BB4" s="177">
        <v>0.0</v>
      </c>
      <c r="BC4" s="144">
        <v>0.0</v>
      </c>
      <c r="BD4" s="48" t="s">
        <v>118</v>
      </c>
      <c r="BE4" s="49">
        <v>1.0</v>
      </c>
      <c r="BF4" s="183">
        <v>10.0</v>
      </c>
      <c r="BG4" s="51" t="s">
        <v>72</v>
      </c>
      <c r="BH4" s="177">
        <v>0.0</v>
      </c>
      <c r="BI4" s="168" t="s">
        <v>195</v>
      </c>
      <c r="BJ4" s="142"/>
      <c r="BK4" s="141"/>
      <c r="BL4" s="143"/>
      <c r="BM4" s="144">
        <v>-69986.0</v>
      </c>
      <c r="BN4" s="141"/>
      <c r="BO4" s="19"/>
      <c r="BP4" s="137"/>
      <c r="BQ4" s="19"/>
      <c r="BR4" s="19"/>
      <c r="BS4" s="19"/>
      <c r="BT4" s="19"/>
      <c r="BU4" s="19"/>
      <c r="BV4" s="137"/>
      <c r="BW4" s="142"/>
      <c r="BX4" s="19"/>
      <c r="BY4" s="19"/>
      <c r="BZ4" s="32"/>
      <c r="CA4" s="13"/>
      <c r="CB4" s="34"/>
      <c r="CC4" s="34"/>
      <c r="CD4" s="34"/>
      <c r="CE4" s="33"/>
      <c r="CF4" s="34"/>
      <c r="CG4" s="34"/>
      <c r="CH4" s="34"/>
      <c r="CI4" s="34"/>
      <c r="CJ4" s="34"/>
      <c r="CK4" s="34"/>
      <c r="CL4" s="139"/>
    </row>
    <row r="5" ht="14.25" customHeight="1">
      <c r="A5" s="164" t="s">
        <v>196</v>
      </c>
      <c r="B5" s="165"/>
      <c r="C5" s="24"/>
      <c r="D5" s="24"/>
      <c r="E5" s="171"/>
      <c r="F5" s="192"/>
      <c r="G5" s="124"/>
      <c r="H5" s="191"/>
      <c r="I5" s="168" t="s">
        <v>197</v>
      </c>
      <c r="J5" s="169" t="s">
        <v>188</v>
      </c>
      <c r="K5" s="139" t="s">
        <v>115</v>
      </c>
      <c r="L5" s="11" t="s">
        <v>196</v>
      </c>
      <c r="M5" s="13" t="s">
        <v>62</v>
      </c>
      <c r="N5" s="13" t="s">
        <v>63</v>
      </c>
      <c r="O5" s="170">
        <v>8000.0</v>
      </c>
      <c r="P5" s="171" t="s">
        <v>116</v>
      </c>
      <c r="Q5" s="39" t="s">
        <v>85</v>
      </c>
      <c r="R5" s="74" t="s">
        <v>69</v>
      </c>
      <c r="S5" s="5">
        <v>0.06713</v>
      </c>
      <c r="T5" s="16" t="s">
        <v>66</v>
      </c>
      <c r="U5" s="172">
        <v>2.01</v>
      </c>
      <c r="V5" s="173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74">
        <v>83.07</v>
      </c>
      <c r="AB5" s="175">
        <v>10.0</v>
      </c>
      <c r="AC5" s="19">
        <v>2.5</v>
      </c>
      <c r="AD5" s="19">
        <v>6.0</v>
      </c>
      <c r="AE5" s="19">
        <v>7.8</v>
      </c>
      <c r="AF5" s="176">
        <v>0.0</v>
      </c>
      <c r="AG5" s="23" t="s">
        <v>69</v>
      </c>
      <c r="AH5" s="169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177">
        <v>0.0</v>
      </c>
      <c r="AP5" s="178">
        <v>0.0</v>
      </c>
      <c r="AQ5" s="179">
        <v>0.0</v>
      </c>
      <c r="AR5" s="179">
        <v>0.0</v>
      </c>
      <c r="AS5" s="180">
        <v>10.0</v>
      </c>
      <c r="AT5" s="180">
        <v>10.0</v>
      </c>
      <c r="AU5" s="179">
        <f t="shared" ref="AU5:AW5" si="4">0.7*AP5</f>
        <v>0</v>
      </c>
      <c r="AV5" s="179">
        <f t="shared" si="4"/>
        <v>0</v>
      </c>
      <c r="AW5" s="179">
        <f t="shared" si="4"/>
        <v>0</v>
      </c>
      <c r="AX5" s="181">
        <v>10.0</v>
      </c>
      <c r="AY5" s="181">
        <v>10.0</v>
      </c>
      <c r="AZ5" s="182">
        <v>0.0</v>
      </c>
      <c r="BA5" s="51" t="s">
        <v>72</v>
      </c>
      <c r="BB5" s="177">
        <v>0.0</v>
      </c>
      <c r="BC5" s="144">
        <v>0.0</v>
      </c>
      <c r="BD5" s="48" t="s">
        <v>118</v>
      </c>
      <c r="BE5" s="49">
        <v>1.0</v>
      </c>
      <c r="BF5" s="183">
        <v>10.0</v>
      </c>
      <c r="BG5" s="51" t="s">
        <v>72</v>
      </c>
      <c r="BH5" s="177">
        <v>0.0</v>
      </c>
      <c r="BI5" s="168" t="s">
        <v>198</v>
      </c>
      <c r="BJ5" s="142"/>
      <c r="BK5" s="141"/>
      <c r="BL5" s="143"/>
      <c r="BM5" s="144">
        <v>78825.0</v>
      </c>
      <c r="BN5" s="137"/>
      <c r="BO5" s="19"/>
      <c r="BP5" s="137"/>
      <c r="BQ5" s="19"/>
      <c r="BR5" s="19"/>
      <c r="BS5" s="19"/>
      <c r="BT5" s="19"/>
      <c r="BU5" s="19"/>
      <c r="BV5" s="137"/>
      <c r="BW5" s="142"/>
      <c r="BX5" s="19"/>
      <c r="BY5" s="19"/>
      <c r="BZ5" s="32"/>
      <c r="CA5" s="13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139"/>
    </row>
    <row r="6" ht="14.25" customHeight="1">
      <c r="A6" s="164" t="s">
        <v>199</v>
      </c>
      <c r="B6" s="171"/>
      <c r="C6" s="193"/>
      <c r="D6" s="24"/>
      <c r="E6" s="166"/>
      <c r="F6" s="139"/>
      <c r="G6" s="194"/>
      <c r="H6" s="195"/>
      <c r="I6" s="168" t="s">
        <v>200</v>
      </c>
      <c r="J6" s="169" t="s">
        <v>188</v>
      </c>
      <c r="K6" s="139" t="s">
        <v>115</v>
      </c>
      <c r="L6" s="11" t="s">
        <v>199</v>
      </c>
      <c r="M6" s="5" t="s">
        <v>62</v>
      </c>
      <c r="N6" s="13" t="s">
        <v>63</v>
      </c>
      <c r="O6" s="170">
        <v>8000.0</v>
      </c>
      <c r="P6" s="171" t="s">
        <v>116</v>
      </c>
      <c r="Q6" s="43" t="s">
        <v>84</v>
      </c>
      <c r="R6" s="19">
        <v>100.0</v>
      </c>
      <c r="S6" s="44" t="s">
        <v>69</v>
      </c>
      <c r="T6" s="16" t="s">
        <v>66</v>
      </c>
      <c r="U6" s="196">
        <v>2.01</v>
      </c>
      <c r="V6" s="173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195">
        <v>83.07</v>
      </c>
      <c r="AB6" s="175">
        <v>25.0</v>
      </c>
      <c r="AC6" s="19">
        <v>2.5</v>
      </c>
      <c r="AD6" s="19">
        <v>6.0</v>
      </c>
      <c r="AE6" s="19">
        <v>7.8</v>
      </c>
      <c r="AF6" s="176">
        <v>0.0</v>
      </c>
      <c r="AG6" s="23" t="s">
        <v>69</v>
      </c>
      <c r="AH6" s="169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177">
        <v>0.0</v>
      </c>
      <c r="AP6" s="178">
        <v>495.0</v>
      </c>
      <c r="AQ6" s="179">
        <v>665.0</v>
      </c>
      <c r="AR6" s="179">
        <v>8066.0</v>
      </c>
      <c r="AS6" s="180">
        <v>20.0</v>
      </c>
      <c r="AT6" s="180">
        <v>20.0</v>
      </c>
      <c r="AU6" s="179">
        <f t="shared" ref="AU6:AW6" si="5">0.7*AP6</f>
        <v>346.5</v>
      </c>
      <c r="AV6" s="179">
        <f t="shared" si="5"/>
        <v>465.5</v>
      </c>
      <c r="AW6" s="179">
        <f t="shared" si="5"/>
        <v>5646.2</v>
      </c>
      <c r="AX6" s="181">
        <v>10.0</v>
      </c>
      <c r="AY6" s="181">
        <v>10.0</v>
      </c>
      <c r="AZ6" s="182">
        <v>0.0</v>
      </c>
      <c r="BA6" s="51" t="s">
        <v>72</v>
      </c>
      <c r="BB6" s="177">
        <v>0.0</v>
      </c>
      <c r="BC6" s="144">
        <v>0.0</v>
      </c>
      <c r="BD6" s="77" t="s">
        <v>118</v>
      </c>
      <c r="BE6" s="49">
        <v>1.0</v>
      </c>
      <c r="BF6" s="183">
        <v>10.0</v>
      </c>
      <c r="BG6" s="51" t="s">
        <v>72</v>
      </c>
      <c r="BH6" s="177">
        <v>0.0</v>
      </c>
      <c r="BI6" s="168" t="s">
        <v>201</v>
      </c>
      <c r="BJ6" s="142"/>
      <c r="BK6" s="141"/>
      <c r="BL6" s="143"/>
      <c r="BM6" s="144">
        <v>21612.0</v>
      </c>
      <c r="BN6" s="141"/>
      <c r="BO6" s="19"/>
      <c r="BP6" s="137"/>
      <c r="BQ6" s="19"/>
      <c r="BR6" s="19"/>
      <c r="BS6" s="19"/>
      <c r="BT6" s="19"/>
      <c r="BU6" s="19"/>
      <c r="BV6" s="145"/>
      <c r="BW6" s="142"/>
      <c r="BX6" s="19"/>
      <c r="BY6" s="19"/>
      <c r="BZ6" s="120"/>
      <c r="CA6" s="5"/>
      <c r="CB6" s="33"/>
      <c r="CC6" s="33"/>
      <c r="CD6" s="34"/>
      <c r="CE6" s="33"/>
      <c r="CF6" s="33"/>
      <c r="CG6" s="34"/>
      <c r="CH6" s="34"/>
      <c r="CI6" s="34"/>
      <c r="CJ6" s="34"/>
      <c r="CK6" s="34"/>
      <c r="CL6" s="195"/>
    </row>
    <row r="7" ht="14.25" customHeight="1">
      <c r="A7" s="164" t="s">
        <v>202</v>
      </c>
      <c r="B7" s="171"/>
      <c r="C7" s="193"/>
      <c r="D7" s="24"/>
      <c r="E7" s="166"/>
      <c r="F7" s="139"/>
      <c r="G7" s="171"/>
      <c r="H7" s="197"/>
      <c r="I7" s="168" t="s">
        <v>203</v>
      </c>
      <c r="J7" s="169" t="s">
        <v>188</v>
      </c>
      <c r="K7" s="139" t="s">
        <v>115</v>
      </c>
      <c r="L7" s="11" t="s">
        <v>202</v>
      </c>
      <c r="M7" s="13" t="s">
        <v>62</v>
      </c>
      <c r="N7" s="13" t="s">
        <v>63</v>
      </c>
      <c r="O7" s="170">
        <v>8000.0</v>
      </c>
      <c r="P7" s="171" t="s">
        <v>116</v>
      </c>
      <c r="Q7" s="43" t="s">
        <v>84</v>
      </c>
      <c r="R7" s="19">
        <v>100.0</v>
      </c>
      <c r="S7" s="44" t="s">
        <v>69</v>
      </c>
      <c r="T7" s="16" t="s">
        <v>66</v>
      </c>
      <c r="U7" s="196">
        <v>2.01</v>
      </c>
      <c r="V7" s="173" t="s">
        <v>67</v>
      </c>
      <c r="W7" s="19">
        <v>2024.0</v>
      </c>
      <c r="X7" s="76" t="s">
        <v>68</v>
      </c>
      <c r="Y7" s="5">
        <v>100.0</v>
      </c>
      <c r="Z7" s="19">
        <v>2024.0</v>
      </c>
      <c r="AA7" s="195">
        <v>83.07</v>
      </c>
      <c r="AB7" s="175">
        <v>10.0</v>
      </c>
      <c r="AC7" s="19">
        <v>2.5</v>
      </c>
      <c r="AD7" s="19">
        <v>6.0</v>
      </c>
      <c r="AE7" s="19">
        <v>7.8</v>
      </c>
      <c r="AF7" s="176">
        <v>0.0</v>
      </c>
      <c r="AG7" s="23" t="s">
        <v>69</v>
      </c>
      <c r="AH7" s="169" t="s">
        <v>70</v>
      </c>
      <c r="AI7" s="25">
        <v>0.0</v>
      </c>
      <c r="AJ7" s="22" t="s">
        <v>71</v>
      </c>
      <c r="AK7" s="22">
        <v>335.4</v>
      </c>
      <c r="AL7" s="22">
        <v>10.7</v>
      </c>
      <c r="AM7" s="22">
        <v>0.0</v>
      </c>
      <c r="AN7" s="26" t="s">
        <v>72</v>
      </c>
      <c r="AO7" s="177">
        <v>0.0</v>
      </c>
      <c r="AP7" s="178">
        <v>0.0</v>
      </c>
      <c r="AQ7" s="179">
        <v>0.0</v>
      </c>
      <c r="AR7" s="179">
        <v>0.0</v>
      </c>
      <c r="AS7" s="180">
        <v>20.0</v>
      </c>
      <c r="AT7" s="180">
        <v>20.0</v>
      </c>
      <c r="AU7" s="179">
        <f t="shared" ref="AU7:AW7" si="6">0.7*AP7</f>
        <v>0</v>
      </c>
      <c r="AV7" s="179">
        <f t="shared" si="6"/>
        <v>0</v>
      </c>
      <c r="AW7" s="179">
        <f t="shared" si="6"/>
        <v>0</v>
      </c>
      <c r="AX7" s="181">
        <v>10.0</v>
      </c>
      <c r="AY7" s="181">
        <v>10.0</v>
      </c>
      <c r="AZ7" s="182">
        <v>0.0</v>
      </c>
      <c r="BA7" s="51" t="s">
        <v>72</v>
      </c>
      <c r="BB7" s="177">
        <v>0.0</v>
      </c>
      <c r="BC7" s="144">
        <v>0.0</v>
      </c>
      <c r="BD7" s="77" t="s">
        <v>118</v>
      </c>
      <c r="BE7" s="49">
        <v>1.0</v>
      </c>
      <c r="BF7" s="183">
        <v>10.0</v>
      </c>
      <c r="BG7" s="51" t="s">
        <v>72</v>
      </c>
      <c r="BH7" s="177">
        <v>0.0</v>
      </c>
      <c r="BI7" s="168" t="s">
        <v>204</v>
      </c>
      <c r="BJ7" s="142"/>
      <c r="BK7" s="141"/>
      <c r="BL7" s="143"/>
      <c r="BM7" s="144">
        <v>112791.0</v>
      </c>
      <c r="BN7" s="141"/>
      <c r="BO7" s="19"/>
      <c r="BP7" s="137"/>
      <c r="BQ7" s="19"/>
      <c r="BR7" s="19"/>
      <c r="BS7" s="19"/>
      <c r="BT7" s="19"/>
      <c r="BU7" s="19"/>
      <c r="BV7" s="137"/>
      <c r="BW7" s="142"/>
      <c r="BX7" s="19"/>
      <c r="BY7" s="19"/>
      <c r="BZ7" s="32"/>
      <c r="CA7" s="13"/>
      <c r="CB7" s="34"/>
      <c r="CC7" s="34"/>
      <c r="CD7" s="34"/>
      <c r="CE7" s="33"/>
      <c r="CF7" s="34"/>
      <c r="CG7" s="34"/>
      <c r="CH7" s="34"/>
      <c r="CI7" s="34"/>
      <c r="CJ7" s="34"/>
      <c r="CK7" s="34"/>
      <c r="CL7" s="139"/>
    </row>
    <row r="8" ht="14.25" customHeight="1">
      <c r="A8" s="164" t="s">
        <v>205</v>
      </c>
      <c r="B8" s="171"/>
      <c r="C8" s="193"/>
      <c r="D8" s="24"/>
      <c r="E8" s="171"/>
      <c r="F8" s="192"/>
      <c r="G8" s="167"/>
      <c r="H8" s="139"/>
      <c r="I8" s="168" t="s">
        <v>206</v>
      </c>
      <c r="J8" s="169" t="s">
        <v>188</v>
      </c>
      <c r="K8" s="139" t="s">
        <v>115</v>
      </c>
      <c r="L8" s="11" t="s">
        <v>205</v>
      </c>
      <c r="M8" s="13" t="s">
        <v>62</v>
      </c>
      <c r="N8" s="13" t="s">
        <v>63</v>
      </c>
      <c r="O8" s="170">
        <v>8000.0</v>
      </c>
      <c r="P8" s="171" t="s">
        <v>116</v>
      </c>
      <c r="Q8" s="39" t="s">
        <v>85</v>
      </c>
      <c r="R8" s="74" t="s">
        <v>69</v>
      </c>
      <c r="S8" s="5">
        <v>0.06713</v>
      </c>
      <c r="T8" s="16" t="s">
        <v>66</v>
      </c>
      <c r="U8" s="196">
        <v>2.01</v>
      </c>
      <c r="V8" s="173" t="s">
        <v>67</v>
      </c>
      <c r="W8" s="19">
        <v>2024.0</v>
      </c>
      <c r="X8" s="76" t="s">
        <v>68</v>
      </c>
      <c r="Y8" s="5">
        <v>100.0</v>
      </c>
      <c r="Z8" s="19">
        <v>2024.0</v>
      </c>
      <c r="AA8" s="195">
        <v>83.07</v>
      </c>
      <c r="AB8" s="175">
        <v>25.0</v>
      </c>
      <c r="AC8" s="19">
        <v>2.5</v>
      </c>
      <c r="AD8" s="19">
        <v>6.0</v>
      </c>
      <c r="AE8" s="19">
        <v>7.8</v>
      </c>
      <c r="AF8" s="176">
        <v>0.0</v>
      </c>
      <c r="AG8" s="23" t="s">
        <v>69</v>
      </c>
      <c r="AH8" s="169" t="s">
        <v>70</v>
      </c>
      <c r="AI8" s="25">
        <v>2220.0</v>
      </c>
      <c r="AJ8" s="22" t="s">
        <v>71</v>
      </c>
      <c r="AK8" s="22">
        <v>335.4</v>
      </c>
      <c r="AL8" s="22">
        <v>10.7</v>
      </c>
      <c r="AM8" s="22">
        <v>0.0</v>
      </c>
      <c r="AN8" s="26" t="s">
        <v>72</v>
      </c>
      <c r="AO8" s="177">
        <v>0.0</v>
      </c>
      <c r="AP8" s="178">
        <v>495.0</v>
      </c>
      <c r="AQ8" s="179">
        <v>665.0</v>
      </c>
      <c r="AR8" s="179">
        <v>8066.0</v>
      </c>
      <c r="AS8" s="180">
        <v>20.0</v>
      </c>
      <c r="AT8" s="180">
        <v>20.0</v>
      </c>
      <c r="AU8" s="179">
        <f t="shared" ref="AU8:AW8" si="7">0.7*AP8</f>
        <v>346.5</v>
      </c>
      <c r="AV8" s="179">
        <f t="shared" si="7"/>
        <v>465.5</v>
      </c>
      <c r="AW8" s="179">
        <f t="shared" si="7"/>
        <v>5646.2</v>
      </c>
      <c r="AX8" s="181">
        <v>10.0</v>
      </c>
      <c r="AY8" s="181">
        <v>10.0</v>
      </c>
      <c r="AZ8" s="182">
        <v>0.0</v>
      </c>
      <c r="BA8" s="51" t="s">
        <v>72</v>
      </c>
      <c r="BB8" s="177">
        <v>0.0</v>
      </c>
      <c r="BC8" s="144">
        <v>0.0</v>
      </c>
      <c r="BD8" s="77" t="s">
        <v>118</v>
      </c>
      <c r="BE8" s="49">
        <v>1.0</v>
      </c>
      <c r="BF8" s="183">
        <v>10.0</v>
      </c>
      <c r="BG8" s="51" t="s">
        <v>72</v>
      </c>
      <c r="BH8" s="177">
        <v>0.0</v>
      </c>
      <c r="BI8" s="168" t="s">
        <v>207</v>
      </c>
      <c r="BJ8" s="142"/>
      <c r="BK8" s="141"/>
      <c r="BL8" s="143"/>
      <c r="BM8" s="144">
        <v>-75364.0</v>
      </c>
      <c r="BN8" s="141"/>
      <c r="BO8" s="19"/>
      <c r="BP8" s="137"/>
      <c r="BQ8" s="19"/>
      <c r="BR8" s="19"/>
      <c r="BS8" s="19"/>
      <c r="BT8" s="19"/>
      <c r="BU8" s="19"/>
      <c r="BV8" s="137"/>
      <c r="BW8" s="142"/>
      <c r="BX8" s="19"/>
      <c r="BY8" s="19"/>
      <c r="BZ8" s="32"/>
      <c r="CA8" s="13"/>
      <c r="CB8" s="34"/>
      <c r="CC8" s="34"/>
      <c r="CD8" s="34"/>
      <c r="CE8" s="33"/>
      <c r="CF8" s="34"/>
      <c r="CG8" s="34"/>
      <c r="CH8" s="34"/>
      <c r="CI8" s="34"/>
      <c r="CJ8" s="34"/>
      <c r="CK8" s="34"/>
      <c r="CL8" s="139"/>
    </row>
    <row r="9" ht="14.25" customHeight="1">
      <c r="A9" s="164" t="s">
        <v>208</v>
      </c>
      <c r="B9" s="171"/>
      <c r="C9" s="193"/>
      <c r="D9" s="24"/>
      <c r="E9" s="171"/>
      <c r="F9" s="192"/>
      <c r="G9" s="124"/>
      <c r="H9" s="191"/>
      <c r="I9" s="168" t="s">
        <v>209</v>
      </c>
      <c r="J9" s="169" t="s">
        <v>188</v>
      </c>
      <c r="K9" s="139" t="s">
        <v>115</v>
      </c>
      <c r="L9" s="11" t="s">
        <v>208</v>
      </c>
      <c r="M9" s="13" t="s">
        <v>62</v>
      </c>
      <c r="N9" s="13" t="s">
        <v>63</v>
      </c>
      <c r="O9" s="170">
        <v>8000.0</v>
      </c>
      <c r="P9" s="171" t="s">
        <v>116</v>
      </c>
      <c r="Q9" s="39" t="s">
        <v>85</v>
      </c>
      <c r="R9" s="74" t="s">
        <v>69</v>
      </c>
      <c r="S9" s="5">
        <v>0.06713</v>
      </c>
      <c r="T9" s="16" t="s">
        <v>66</v>
      </c>
      <c r="U9" s="196">
        <v>2.01</v>
      </c>
      <c r="V9" s="173" t="s">
        <v>67</v>
      </c>
      <c r="W9" s="19">
        <v>2024.0</v>
      </c>
      <c r="X9" s="76" t="s">
        <v>68</v>
      </c>
      <c r="Y9" s="5">
        <v>100.0</v>
      </c>
      <c r="Z9" s="19">
        <v>2024.0</v>
      </c>
      <c r="AA9" s="195">
        <v>83.07</v>
      </c>
      <c r="AB9" s="175">
        <v>10.0</v>
      </c>
      <c r="AC9" s="19">
        <v>2.5</v>
      </c>
      <c r="AD9" s="19">
        <v>6.0</v>
      </c>
      <c r="AE9" s="19">
        <v>7.8</v>
      </c>
      <c r="AF9" s="176">
        <v>0.0</v>
      </c>
      <c r="AG9" s="23" t="s">
        <v>69</v>
      </c>
      <c r="AH9" s="169" t="s">
        <v>70</v>
      </c>
      <c r="AI9" s="25">
        <v>0.0</v>
      </c>
      <c r="AJ9" s="22" t="s">
        <v>71</v>
      </c>
      <c r="AK9" s="22">
        <v>335.4</v>
      </c>
      <c r="AL9" s="22">
        <v>10.7</v>
      </c>
      <c r="AM9" s="22">
        <v>0.0</v>
      </c>
      <c r="AN9" s="26" t="s">
        <v>72</v>
      </c>
      <c r="AO9" s="177">
        <v>0.0</v>
      </c>
      <c r="AP9" s="178">
        <v>0.0</v>
      </c>
      <c r="AQ9" s="179">
        <v>0.0</v>
      </c>
      <c r="AR9" s="179">
        <v>0.0</v>
      </c>
      <c r="AS9" s="180">
        <v>20.0</v>
      </c>
      <c r="AT9" s="180">
        <v>20.0</v>
      </c>
      <c r="AU9" s="179">
        <f t="shared" ref="AU9:AW9" si="8">0.7*AP9</f>
        <v>0</v>
      </c>
      <c r="AV9" s="179">
        <f t="shared" si="8"/>
        <v>0</v>
      </c>
      <c r="AW9" s="179">
        <f t="shared" si="8"/>
        <v>0</v>
      </c>
      <c r="AX9" s="181">
        <v>10.0</v>
      </c>
      <c r="AY9" s="181">
        <v>10.0</v>
      </c>
      <c r="AZ9" s="182">
        <v>0.0</v>
      </c>
      <c r="BA9" s="51" t="s">
        <v>72</v>
      </c>
      <c r="BB9" s="177">
        <v>0.0</v>
      </c>
      <c r="BC9" s="144">
        <v>0.0</v>
      </c>
      <c r="BD9" s="77" t="s">
        <v>118</v>
      </c>
      <c r="BE9" s="49">
        <v>1.0</v>
      </c>
      <c r="BF9" s="183">
        <v>10.0</v>
      </c>
      <c r="BG9" s="51" t="s">
        <v>72</v>
      </c>
      <c r="BH9" s="177">
        <v>0.0</v>
      </c>
      <c r="BI9" s="168" t="s">
        <v>210</v>
      </c>
      <c r="BJ9" s="142"/>
      <c r="BK9" s="141"/>
      <c r="BL9" s="143"/>
      <c r="BM9" s="144">
        <v>80636.0</v>
      </c>
      <c r="BN9" s="141"/>
      <c r="BO9" s="19"/>
      <c r="BP9" s="137"/>
      <c r="BQ9" s="19"/>
      <c r="BR9" s="19"/>
      <c r="BS9" s="19"/>
      <c r="BT9" s="19"/>
      <c r="BU9" s="19"/>
      <c r="BV9" s="137"/>
      <c r="BW9" s="142"/>
      <c r="BX9" s="19"/>
      <c r="BY9" s="19"/>
      <c r="BZ9" s="32"/>
      <c r="CA9" s="13"/>
      <c r="CB9" s="34"/>
      <c r="CC9" s="34"/>
      <c r="CD9" s="34"/>
      <c r="CE9" s="33"/>
      <c r="CF9" s="34"/>
      <c r="CG9" s="34"/>
      <c r="CH9" s="34"/>
      <c r="CI9" s="34"/>
      <c r="CJ9" s="34"/>
      <c r="CK9" s="34"/>
      <c r="CL9" s="139"/>
    </row>
    <row r="10" ht="14.25" customHeight="1">
      <c r="A10" s="164" t="s">
        <v>211</v>
      </c>
      <c r="B10" s="171"/>
      <c r="C10" s="198"/>
      <c r="D10" s="199"/>
      <c r="E10" s="166"/>
      <c r="F10" s="139"/>
      <c r="G10" s="167"/>
      <c r="H10" s="139"/>
      <c r="I10" s="168" t="s">
        <v>212</v>
      </c>
      <c r="J10" s="169" t="s">
        <v>188</v>
      </c>
      <c r="K10" s="139" t="s">
        <v>115</v>
      </c>
      <c r="L10" s="11" t="s">
        <v>211</v>
      </c>
      <c r="M10" s="13" t="s">
        <v>62</v>
      </c>
      <c r="N10" s="13" t="s">
        <v>63</v>
      </c>
      <c r="O10" s="170">
        <v>8000.0</v>
      </c>
      <c r="P10" s="171" t="s">
        <v>116</v>
      </c>
      <c r="Q10" s="43" t="s">
        <v>84</v>
      </c>
      <c r="R10" s="19">
        <v>100.0</v>
      </c>
      <c r="S10" s="44" t="s">
        <v>69</v>
      </c>
      <c r="T10" s="16" t="s">
        <v>66</v>
      </c>
      <c r="U10" s="196">
        <v>2.01</v>
      </c>
      <c r="V10" s="173" t="s">
        <v>67</v>
      </c>
      <c r="W10" s="19">
        <v>2024.0</v>
      </c>
      <c r="X10" s="76" t="s">
        <v>68</v>
      </c>
      <c r="Y10" s="5">
        <v>100.0</v>
      </c>
      <c r="Z10" s="19">
        <v>2024.0</v>
      </c>
      <c r="AA10" s="195">
        <v>83.07</v>
      </c>
      <c r="AB10" s="175">
        <v>25.0</v>
      </c>
      <c r="AC10" s="19">
        <v>2.5</v>
      </c>
      <c r="AD10" s="19">
        <v>6.0</v>
      </c>
      <c r="AE10" s="19">
        <v>7.8</v>
      </c>
      <c r="AF10" s="176">
        <v>0.0</v>
      </c>
      <c r="AG10" s="23" t="s">
        <v>69</v>
      </c>
      <c r="AH10" s="169" t="s">
        <v>70</v>
      </c>
      <c r="AI10" s="25">
        <v>2220.0</v>
      </c>
      <c r="AJ10" s="22" t="s">
        <v>71</v>
      </c>
      <c r="AK10" s="22">
        <v>335.4</v>
      </c>
      <c r="AL10" s="22">
        <v>10.7</v>
      </c>
      <c r="AM10" s="22">
        <v>0.0</v>
      </c>
      <c r="AN10" s="26" t="s">
        <v>72</v>
      </c>
      <c r="AO10" s="177">
        <v>0.0</v>
      </c>
      <c r="AP10" s="178">
        <v>495.0</v>
      </c>
      <c r="AQ10" s="179">
        <v>665.0</v>
      </c>
      <c r="AR10" s="179">
        <v>8066.0</v>
      </c>
      <c r="AS10" s="180">
        <v>40.0</v>
      </c>
      <c r="AT10" s="180">
        <v>40.0</v>
      </c>
      <c r="AU10" s="179">
        <f t="shared" ref="AU10:AW10" si="9">0.7*AP10</f>
        <v>346.5</v>
      </c>
      <c r="AV10" s="179">
        <f t="shared" si="9"/>
        <v>465.5</v>
      </c>
      <c r="AW10" s="179">
        <f t="shared" si="9"/>
        <v>5646.2</v>
      </c>
      <c r="AX10" s="181">
        <v>10.0</v>
      </c>
      <c r="AY10" s="181">
        <v>10.0</v>
      </c>
      <c r="AZ10" s="182">
        <v>0.0</v>
      </c>
      <c r="BA10" s="51" t="s">
        <v>72</v>
      </c>
      <c r="BB10" s="177">
        <v>0.0</v>
      </c>
      <c r="BC10" s="144">
        <v>0.0</v>
      </c>
      <c r="BD10" s="77" t="s">
        <v>118</v>
      </c>
      <c r="BE10" s="49">
        <v>1.0</v>
      </c>
      <c r="BF10" s="183">
        <v>10.0</v>
      </c>
      <c r="BG10" s="51" t="s">
        <v>72</v>
      </c>
      <c r="BH10" s="177">
        <v>0.0</v>
      </c>
      <c r="BI10" s="168" t="s">
        <v>213</v>
      </c>
      <c r="BJ10" s="142"/>
      <c r="BK10" s="141"/>
      <c r="BL10" s="143"/>
      <c r="BM10" s="144">
        <v>353.0</v>
      </c>
      <c r="BN10" s="141"/>
      <c r="BO10" s="19"/>
      <c r="BP10" s="137"/>
      <c r="BQ10" s="19"/>
      <c r="BR10" s="19"/>
      <c r="BS10" s="19"/>
      <c r="BT10" s="19"/>
      <c r="BU10" s="19"/>
      <c r="BV10" s="137"/>
      <c r="BW10" s="142"/>
      <c r="BX10" s="19"/>
      <c r="BY10" s="19"/>
      <c r="BZ10" s="32"/>
      <c r="CA10" s="13"/>
      <c r="CB10" s="34"/>
      <c r="CC10" s="34"/>
      <c r="CD10" s="34"/>
      <c r="CE10" s="33"/>
      <c r="CF10" s="34"/>
      <c r="CG10" s="34"/>
      <c r="CH10" s="34"/>
      <c r="CI10" s="34"/>
      <c r="CJ10" s="34"/>
      <c r="CK10" s="34"/>
      <c r="CL10" s="139"/>
    </row>
    <row r="11" ht="14.25" customHeight="1">
      <c r="A11" s="164" t="s">
        <v>214</v>
      </c>
      <c r="B11" s="171"/>
      <c r="C11" s="198"/>
      <c r="D11" s="199"/>
      <c r="E11" s="166"/>
      <c r="F11" s="139"/>
      <c r="G11" s="124"/>
      <c r="H11" s="191"/>
      <c r="I11" s="168" t="s">
        <v>215</v>
      </c>
      <c r="J11" s="169" t="s">
        <v>188</v>
      </c>
      <c r="K11" s="139" t="s">
        <v>115</v>
      </c>
      <c r="L11" s="11" t="s">
        <v>214</v>
      </c>
      <c r="M11" s="5" t="s">
        <v>62</v>
      </c>
      <c r="N11" s="13" t="s">
        <v>63</v>
      </c>
      <c r="O11" s="170">
        <v>8000.0</v>
      </c>
      <c r="P11" s="171" t="s">
        <v>116</v>
      </c>
      <c r="Q11" s="43" t="s">
        <v>84</v>
      </c>
      <c r="R11" s="19">
        <v>100.0</v>
      </c>
      <c r="S11" s="44" t="s">
        <v>69</v>
      </c>
      <c r="T11" s="16" t="s">
        <v>66</v>
      </c>
      <c r="U11" s="196">
        <v>2.01</v>
      </c>
      <c r="V11" s="173" t="s">
        <v>67</v>
      </c>
      <c r="W11" s="19">
        <v>2024.0</v>
      </c>
      <c r="X11" s="76" t="s">
        <v>68</v>
      </c>
      <c r="Y11" s="5">
        <v>100.0</v>
      </c>
      <c r="Z11" s="19">
        <v>2024.0</v>
      </c>
      <c r="AA11" s="195">
        <v>83.07</v>
      </c>
      <c r="AB11" s="175">
        <v>10.0</v>
      </c>
      <c r="AC11" s="19">
        <v>2.5</v>
      </c>
      <c r="AD11" s="19">
        <v>6.0</v>
      </c>
      <c r="AE11" s="19">
        <v>7.8</v>
      </c>
      <c r="AF11" s="176">
        <v>0.0</v>
      </c>
      <c r="AG11" s="23" t="s">
        <v>69</v>
      </c>
      <c r="AH11" s="169" t="s">
        <v>70</v>
      </c>
      <c r="AI11" s="25">
        <v>0.0</v>
      </c>
      <c r="AJ11" s="22" t="s">
        <v>71</v>
      </c>
      <c r="AK11" s="22">
        <v>335.4</v>
      </c>
      <c r="AL11" s="22">
        <v>10.7</v>
      </c>
      <c r="AM11" s="22">
        <v>0.0</v>
      </c>
      <c r="AN11" s="26" t="s">
        <v>72</v>
      </c>
      <c r="AO11" s="177">
        <v>0.0</v>
      </c>
      <c r="AP11" s="178">
        <v>0.0</v>
      </c>
      <c r="AQ11" s="179">
        <v>0.0</v>
      </c>
      <c r="AR11" s="179">
        <v>0.0</v>
      </c>
      <c r="AS11" s="180">
        <v>40.0</v>
      </c>
      <c r="AT11" s="180">
        <v>40.0</v>
      </c>
      <c r="AU11" s="179">
        <f t="shared" ref="AU11:AW11" si="10">0.7*AP11</f>
        <v>0</v>
      </c>
      <c r="AV11" s="179">
        <f t="shared" si="10"/>
        <v>0</v>
      </c>
      <c r="AW11" s="179">
        <f t="shared" si="10"/>
        <v>0</v>
      </c>
      <c r="AX11" s="181">
        <v>10.0</v>
      </c>
      <c r="AY11" s="181">
        <v>10.0</v>
      </c>
      <c r="AZ11" s="182">
        <v>0.0</v>
      </c>
      <c r="BA11" s="51" t="s">
        <v>72</v>
      </c>
      <c r="BB11" s="177">
        <v>0.0</v>
      </c>
      <c r="BC11" s="144">
        <v>0.0</v>
      </c>
      <c r="BD11" s="77" t="s">
        <v>118</v>
      </c>
      <c r="BE11" s="49">
        <v>1.0</v>
      </c>
      <c r="BF11" s="183">
        <v>10.0</v>
      </c>
      <c r="BG11" s="51" t="s">
        <v>72</v>
      </c>
      <c r="BH11" s="177">
        <v>0.0</v>
      </c>
      <c r="BI11" s="168" t="s">
        <v>216</v>
      </c>
      <c r="BJ11" s="142"/>
      <c r="BK11" s="141"/>
      <c r="BL11" s="143"/>
      <c r="BM11" s="144">
        <v>112869.0</v>
      </c>
      <c r="BN11" s="141"/>
      <c r="BO11" s="19"/>
      <c r="BP11" s="137"/>
      <c r="BQ11" s="19"/>
      <c r="BR11" s="19"/>
      <c r="BS11" s="19"/>
      <c r="BT11" s="19"/>
      <c r="BU11" s="19"/>
      <c r="BV11" s="137"/>
      <c r="BW11" s="142"/>
      <c r="BX11" s="19"/>
      <c r="BY11" s="19"/>
      <c r="BZ11" s="32"/>
      <c r="CA11" s="13"/>
      <c r="CB11" s="34"/>
      <c r="CC11" s="34"/>
      <c r="CD11" s="34"/>
      <c r="CE11" s="33"/>
      <c r="CF11" s="34"/>
      <c r="CG11" s="34"/>
      <c r="CH11" s="34"/>
      <c r="CI11" s="34"/>
      <c r="CJ11" s="34"/>
      <c r="CK11" s="34"/>
      <c r="CL11" s="139"/>
    </row>
    <row r="12" ht="14.25" customHeight="1">
      <c r="A12" s="164" t="s">
        <v>217</v>
      </c>
      <c r="B12" s="171"/>
      <c r="C12" s="198"/>
      <c r="D12" s="199"/>
      <c r="E12" s="171"/>
      <c r="F12" s="192"/>
      <c r="G12" s="194"/>
      <c r="H12" s="195"/>
      <c r="I12" s="168" t="s">
        <v>218</v>
      </c>
      <c r="J12" s="169" t="s">
        <v>188</v>
      </c>
      <c r="K12" s="139" t="s">
        <v>115</v>
      </c>
      <c r="L12" s="11" t="s">
        <v>217</v>
      </c>
      <c r="M12" s="5" t="s">
        <v>62</v>
      </c>
      <c r="N12" s="13" t="s">
        <v>63</v>
      </c>
      <c r="O12" s="170">
        <v>8000.0</v>
      </c>
      <c r="P12" s="171" t="s">
        <v>116</v>
      </c>
      <c r="Q12" s="39" t="s">
        <v>85</v>
      </c>
      <c r="R12" s="74" t="s">
        <v>69</v>
      </c>
      <c r="S12" s="5">
        <v>0.06713</v>
      </c>
      <c r="T12" s="16" t="s">
        <v>66</v>
      </c>
      <c r="U12" s="196">
        <v>2.01</v>
      </c>
      <c r="V12" s="173" t="s">
        <v>67</v>
      </c>
      <c r="W12" s="19">
        <v>2024.0</v>
      </c>
      <c r="X12" s="76" t="s">
        <v>68</v>
      </c>
      <c r="Y12" s="5">
        <v>100.0</v>
      </c>
      <c r="Z12" s="19">
        <v>2024.0</v>
      </c>
      <c r="AA12" s="195">
        <v>83.07</v>
      </c>
      <c r="AB12" s="175">
        <v>25.0</v>
      </c>
      <c r="AC12" s="5">
        <v>2.5</v>
      </c>
      <c r="AD12" s="5">
        <v>6.0</v>
      </c>
      <c r="AE12" s="19">
        <v>7.8</v>
      </c>
      <c r="AF12" s="176">
        <v>0.0</v>
      </c>
      <c r="AG12" s="23" t="s">
        <v>69</v>
      </c>
      <c r="AH12" s="169" t="s">
        <v>70</v>
      </c>
      <c r="AI12" s="25">
        <v>2220.0</v>
      </c>
      <c r="AJ12" s="22" t="s">
        <v>71</v>
      </c>
      <c r="AK12" s="22">
        <v>335.4</v>
      </c>
      <c r="AL12" s="22">
        <v>10.7</v>
      </c>
      <c r="AM12" s="22">
        <v>0.0</v>
      </c>
      <c r="AN12" s="26" t="s">
        <v>72</v>
      </c>
      <c r="AO12" s="177">
        <v>0.0</v>
      </c>
      <c r="AP12" s="178">
        <v>495.0</v>
      </c>
      <c r="AQ12" s="179">
        <v>665.0</v>
      </c>
      <c r="AR12" s="179">
        <v>8066.0</v>
      </c>
      <c r="AS12" s="180">
        <v>40.0</v>
      </c>
      <c r="AT12" s="180">
        <v>40.0</v>
      </c>
      <c r="AU12" s="179">
        <f t="shared" ref="AU12:AW12" si="11">0.7*AP12</f>
        <v>346.5</v>
      </c>
      <c r="AV12" s="179">
        <f t="shared" si="11"/>
        <v>465.5</v>
      </c>
      <c r="AW12" s="179">
        <f t="shared" si="11"/>
        <v>5646.2</v>
      </c>
      <c r="AX12" s="181">
        <v>10.0</v>
      </c>
      <c r="AY12" s="181">
        <v>10.0</v>
      </c>
      <c r="AZ12" s="182">
        <v>0.0</v>
      </c>
      <c r="BA12" s="51" t="s">
        <v>72</v>
      </c>
      <c r="BB12" s="177">
        <v>0.0</v>
      </c>
      <c r="BC12" s="144">
        <v>0.0</v>
      </c>
      <c r="BD12" s="77" t="s">
        <v>118</v>
      </c>
      <c r="BE12" s="49">
        <v>1.0</v>
      </c>
      <c r="BF12" s="183">
        <v>10.0</v>
      </c>
      <c r="BG12" s="51" t="s">
        <v>72</v>
      </c>
      <c r="BH12" s="177">
        <v>0.0</v>
      </c>
      <c r="BI12" s="168" t="s">
        <v>219</v>
      </c>
      <c r="BJ12" s="142"/>
      <c r="BK12" s="141"/>
      <c r="BL12" s="143"/>
      <c r="BM12" s="144">
        <v>-86712.0</v>
      </c>
      <c r="BN12" s="141"/>
      <c r="BO12" s="19"/>
      <c r="BP12" s="137"/>
      <c r="BQ12" s="19"/>
      <c r="BR12" s="19"/>
      <c r="BS12" s="19"/>
      <c r="BT12" s="19"/>
      <c r="BU12" s="19"/>
      <c r="BV12" s="137"/>
      <c r="BW12" s="142"/>
      <c r="BX12" s="19"/>
      <c r="BY12" s="19"/>
      <c r="BZ12" s="32"/>
      <c r="CA12" s="13"/>
      <c r="CB12" s="34"/>
      <c r="CC12" s="34"/>
      <c r="CD12" s="34"/>
      <c r="CE12" s="33"/>
      <c r="CF12" s="34"/>
      <c r="CG12" s="34"/>
      <c r="CH12" s="34"/>
      <c r="CI12" s="34"/>
      <c r="CJ12" s="34"/>
      <c r="CK12" s="34"/>
      <c r="CL12" s="139"/>
    </row>
    <row r="13" ht="14.25" customHeight="1">
      <c r="A13" s="200" t="s">
        <v>220</v>
      </c>
      <c r="B13" s="201"/>
      <c r="C13" s="202"/>
      <c r="D13" s="203"/>
      <c r="E13" s="201"/>
      <c r="F13" s="204"/>
      <c r="G13" s="201"/>
      <c r="H13" s="205"/>
      <c r="I13" s="168" t="s">
        <v>221</v>
      </c>
      <c r="J13" s="206" t="s">
        <v>188</v>
      </c>
      <c r="K13" s="207" t="s">
        <v>115</v>
      </c>
      <c r="L13" s="208" t="s">
        <v>220</v>
      </c>
      <c r="M13" s="81" t="s">
        <v>62</v>
      </c>
      <c r="N13" s="83" t="s">
        <v>63</v>
      </c>
      <c r="O13" s="209">
        <v>8000.0</v>
      </c>
      <c r="P13" s="128" t="s">
        <v>116</v>
      </c>
      <c r="Q13" s="82" t="s">
        <v>85</v>
      </c>
      <c r="R13" s="88" t="s">
        <v>69</v>
      </c>
      <c r="S13" s="81">
        <v>0.06713</v>
      </c>
      <c r="T13" s="89" t="s">
        <v>66</v>
      </c>
      <c r="U13" s="210">
        <v>2.01</v>
      </c>
      <c r="V13" s="211" t="s">
        <v>67</v>
      </c>
      <c r="W13" s="92">
        <v>2024.0</v>
      </c>
      <c r="X13" s="93" t="s">
        <v>68</v>
      </c>
      <c r="Y13" s="81">
        <v>100.0</v>
      </c>
      <c r="Z13" s="92">
        <v>2024.0</v>
      </c>
      <c r="AA13" s="153">
        <v>83.07</v>
      </c>
      <c r="AB13" s="212">
        <v>10.0</v>
      </c>
      <c r="AC13" s="81">
        <v>2.5</v>
      </c>
      <c r="AD13" s="81">
        <v>6.0</v>
      </c>
      <c r="AE13" s="92">
        <v>7.8</v>
      </c>
      <c r="AF13" s="213">
        <v>0.0</v>
      </c>
      <c r="AG13" s="96" t="s">
        <v>69</v>
      </c>
      <c r="AH13" s="206" t="s">
        <v>70</v>
      </c>
      <c r="AI13" s="98">
        <v>0.0</v>
      </c>
      <c r="AJ13" s="95" t="s">
        <v>71</v>
      </c>
      <c r="AK13" s="95">
        <v>335.4</v>
      </c>
      <c r="AL13" s="95">
        <v>10.7</v>
      </c>
      <c r="AM13" s="95">
        <v>0.0</v>
      </c>
      <c r="AN13" s="99" t="s">
        <v>72</v>
      </c>
      <c r="AO13" s="214">
        <v>0.0</v>
      </c>
      <c r="AP13" s="215">
        <v>0.0</v>
      </c>
      <c r="AQ13" s="216">
        <v>0.0</v>
      </c>
      <c r="AR13" s="216">
        <v>0.0</v>
      </c>
      <c r="AS13" s="217">
        <v>40.0</v>
      </c>
      <c r="AT13" s="217">
        <v>40.0</v>
      </c>
      <c r="AU13" s="216">
        <f t="shared" ref="AU13:AW13" si="12">0.7*AP13</f>
        <v>0</v>
      </c>
      <c r="AV13" s="216">
        <f t="shared" si="12"/>
        <v>0</v>
      </c>
      <c r="AW13" s="216">
        <f t="shared" si="12"/>
        <v>0</v>
      </c>
      <c r="AX13" s="218">
        <v>10.0</v>
      </c>
      <c r="AY13" s="218">
        <v>10.0</v>
      </c>
      <c r="AZ13" s="219">
        <v>0.0</v>
      </c>
      <c r="BA13" s="105" t="s">
        <v>72</v>
      </c>
      <c r="BB13" s="214">
        <v>0.0</v>
      </c>
      <c r="BC13" s="220">
        <v>0.0</v>
      </c>
      <c r="BD13" s="102" t="s">
        <v>118</v>
      </c>
      <c r="BE13" s="103">
        <v>1.0</v>
      </c>
      <c r="BF13" s="221">
        <v>10.0</v>
      </c>
      <c r="BG13" s="105" t="s">
        <v>72</v>
      </c>
      <c r="BH13" s="214">
        <v>0.0</v>
      </c>
      <c r="BI13" s="168" t="s">
        <v>222</v>
      </c>
      <c r="BJ13" s="146"/>
      <c r="BK13" s="222"/>
      <c r="BL13" s="148"/>
      <c r="BM13" s="144">
        <v>84030.0</v>
      </c>
      <c r="BN13" s="222"/>
      <c r="BO13" s="92"/>
      <c r="BP13" s="150"/>
      <c r="BQ13" s="92"/>
      <c r="BR13" s="92"/>
      <c r="BS13" s="92"/>
      <c r="BT13" s="92"/>
      <c r="BU13" s="92"/>
      <c r="BV13" s="147"/>
      <c r="BW13" s="223"/>
      <c r="BX13" s="92"/>
      <c r="BY13" s="92"/>
      <c r="BZ13" s="131"/>
      <c r="CA13" s="81"/>
      <c r="CB13" s="132"/>
      <c r="CC13" s="132"/>
      <c r="CD13" s="152"/>
      <c r="CE13" s="132"/>
      <c r="CF13" s="132"/>
      <c r="CG13" s="152"/>
      <c r="CH13" s="132"/>
      <c r="CI13" s="132"/>
      <c r="CJ13" s="152"/>
      <c r="CK13" s="132"/>
      <c r="CL13" s="153"/>
    </row>
    <row r="14" ht="14.25" customHeight="1">
      <c r="BG14" s="13"/>
      <c r="BH14" s="13"/>
    </row>
    <row r="15" ht="14.25" customHeight="1">
      <c r="A15" s="119" t="s">
        <v>125</v>
      </c>
      <c r="AS15" s="5"/>
      <c r="AT15" s="5"/>
      <c r="BG15" s="13"/>
      <c r="BH15" s="13"/>
    </row>
    <row r="16" ht="14.25" customHeight="1">
      <c r="BG16" s="13"/>
      <c r="BH16" s="13"/>
    </row>
    <row r="17" ht="14.25" customHeight="1">
      <c r="BG17" s="13"/>
      <c r="BH17" s="13"/>
    </row>
    <row r="18" ht="14.25" customHeight="1">
      <c r="BG18" s="13"/>
      <c r="BH18" s="13"/>
    </row>
    <row r="19" ht="14.25" customHeight="1">
      <c r="BG19" s="13"/>
      <c r="BH19" s="13"/>
    </row>
    <row r="20" ht="14.25" customHeight="1">
      <c r="BG20" s="13"/>
      <c r="BH20" s="13"/>
    </row>
    <row r="21" ht="14.25" customHeight="1">
      <c r="BG21" s="13"/>
      <c r="BH21" s="13"/>
    </row>
    <row r="22" ht="14.25" customHeight="1">
      <c r="BG22" s="13"/>
      <c r="BH22" s="13"/>
    </row>
    <row r="23" ht="14.25" customHeight="1">
      <c r="BG23" s="13"/>
      <c r="BH23" s="13"/>
    </row>
    <row r="24" ht="14.25" customHeight="1">
      <c r="BG24" s="13"/>
      <c r="BH24" s="13"/>
    </row>
    <row r="25" ht="14.25" customHeight="1">
      <c r="BG25" s="13"/>
      <c r="BH25" s="13"/>
    </row>
    <row r="26" ht="14.25" customHeight="1">
      <c r="BG26" s="13"/>
      <c r="BH26" s="13"/>
    </row>
    <row r="27" ht="14.25" customHeight="1">
      <c r="BG27" s="13"/>
      <c r="BH27" s="13"/>
    </row>
    <row r="28" ht="14.25" customHeight="1">
      <c r="BG28" s="13"/>
      <c r="BH28" s="13"/>
    </row>
    <row r="29" ht="14.25" customHeight="1">
      <c r="BG29" s="13"/>
      <c r="BH29" s="13"/>
    </row>
    <row r="30" ht="14.25" customHeight="1">
      <c r="BG30" s="13"/>
      <c r="BH30" s="13"/>
    </row>
    <row r="31" ht="14.25" customHeight="1">
      <c r="BG31" s="13"/>
      <c r="BH31" s="13"/>
    </row>
    <row r="32" ht="14.25" customHeight="1">
      <c r="BG32" s="13"/>
      <c r="BH32" s="13"/>
    </row>
    <row r="33" ht="14.25" customHeight="1">
      <c r="BG33" s="13"/>
      <c r="BH33" s="13"/>
    </row>
    <row r="34" ht="14.25" customHeight="1">
      <c r="BG34" s="13"/>
      <c r="BH34" s="13"/>
    </row>
    <row r="35" ht="14.25" customHeight="1">
      <c r="BG35" s="13"/>
      <c r="BH35" s="13"/>
    </row>
    <row r="36" ht="14.25" customHeight="1">
      <c r="BG36" s="13"/>
      <c r="BH36" s="13"/>
    </row>
    <row r="37" ht="14.25" customHeight="1">
      <c r="BG37" s="13"/>
      <c r="BH37" s="13"/>
    </row>
    <row r="38" ht="14.25" customHeight="1">
      <c r="BG38" s="13"/>
      <c r="BH38" s="13"/>
    </row>
    <row r="39" ht="14.25" customHeight="1">
      <c r="BG39" s="13"/>
      <c r="BH39" s="13"/>
    </row>
    <row r="40" ht="14.25" customHeight="1">
      <c r="BG40" s="13"/>
      <c r="BH40" s="13"/>
    </row>
    <row r="41" ht="14.25" customHeight="1">
      <c r="BG41" s="13"/>
      <c r="BH41" s="13"/>
    </row>
    <row r="42" ht="14.25" customHeight="1">
      <c r="BG42" s="13"/>
      <c r="BH42" s="13"/>
    </row>
    <row r="43" ht="14.25" customHeight="1">
      <c r="BG43" s="13"/>
      <c r="BH43" s="13"/>
    </row>
    <row r="44" ht="14.25" customHeight="1">
      <c r="BG44" s="13"/>
      <c r="BH44" s="13"/>
    </row>
    <row r="45" ht="14.25" customHeight="1">
      <c r="BG45" s="13"/>
      <c r="BH45" s="13"/>
    </row>
    <row r="46" ht="14.25" customHeight="1">
      <c r="BG46" s="13"/>
      <c r="BH46" s="13"/>
    </row>
    <row r="47" ht="14.25" customHeight="1">
      <c r="BG47" s="13"/>
      <c r="BH47" s="13"/>
    </row>
    <row r="48" ht="14.25" customHeight="1">
      <c r="BG48" s="13"/>
      <c r="BH48" s="13"/>
    </row>
    <row r="49" ht="14.25" customHeight="1">
      <c r="BG49" s="13"/>
      <c r="BH49" s="13"/>
    </row>
    <row r="50" ht="14.25" customHeight="1">
      <c r="BG50" s="13"/>
      <c r="BH50" s="13"/>
    </row>
    <row r="51" ht="14.25" customHeight="1">
      <c r="BG51" s="13"/>
      <c r="BH51" s="13"/>
    </row>
    <row r="52" ht="14.25" customHeight="1">
      <c r="BG52" s="13"/>
      <c r="BH52" s="13"/>
    </row>
    <row r="53" ht="14.25" customHeight="1">
      <c r="BG53" s="13"/>
      <c r="BH53" s="13"/>
    </row>
    <row r="54" ht="14.25" customHeight="1">
      <c r="BG54" s="13"/>
      <c r="BH54" s="13"/>
    </row>
    <row r="55" ht="14.25" customHeight="1">
      <c r="BG55" s="13"/>
      <c r="BH55" s="13"/>
    </row>
    <row r="56" ht="14.25" customHeight="1">
      <c r="BG56" s="13"/>
      <c r="BH56" s="13"/>
    </row>
    <row r="57" ht="14.25" customHeight="1">
      <c r="BG57" s="13"/>
      <c r="BH57" s="13"/>
    </row>
    <row r="58" ht="14.25" customHeight="1">
      <c r="BG58" s="13"/>
      <c r="BH58" s="13"/>
    </row>
    <row r="59" ht="14.25" customHeight="1">
      <c r="BG59" s="13"/>
      <c r="BH59" s="13"/>
    </row>
    <row r="60" ht="14.25" customHeight="1">
      <c r="BG60" s="13"/>
      <c r="BH60" s="13"/>
    </row>
    <row r="61" ht="14.25" customHeight="1">
      <c r="BG61" s="13"/>
      <c r="BH61" s="13"/>
    </row>
    <row r="62" ht="14.25" customHeight="1">
      <c r="BG62" s="13"/>
      <c r="BH62" s="13"/>
    </row>
    <row r="63" ht="14.25" customHeight="1">
      <c r="BG63" s="13"/>
      <c r="BH63" s="13"/>
    </row>
    <row r="64" ht="14.25" customHeight="1">
      <c r="BG64" s="13"/>
      <c r="BH64" s="13"/>
    </row>
    <row r="65" ht="14.25" customHeight="1">
      <c r="BG65" s="13"/>
      <c r="BH65" s="13"/>
    </row>
    <row r="66" ht="14.25" customHeight="1">
      <c r="BG66" s="13"/>
      <c r="BH66" s="13"/>
    </row>
    <row r="67" ht="14.25" customHeight="1">
      <c r="BG67" s="13"/>
      <c r="BH67" s="13"/>
    </row>
    <row r="68" ht="14.25" customHeight="1">
      <c r="BG68" s="13"/>
      <c r="BH68" s="13"/>
    </row>
    <row r="69" ht="14.25" customHeight="1">
      <c r="BG69" s="13"/>
      <c r="BH69" s="13"/>
    </row>
    <row r="70" ht="14.25" customHeight="1">
      <c r="BG70" s="13"/>
      <c r="BH70" s="13"/>
    </row>
    <row r="71" ht="14.25" customHeight="1">
      <c r="BG71" s="13"/>
      <c r="BH71" s="13"/>
    </row>
    <row r="72" ht="14.25" customHeight="1">
      <c r="BG72" s="13"/>
      <c r="BH72" s="13"/>
    </row>
    <row r="73" ht="14.25" customHeight="1">
      <c r="BG73" s="13"/>
      <c r="BH73" s="13"/>
    </row>
    <row r="74" ht="14.25" customHeight="1">
      <c r="BG74" s="13"/>
      <c r="BH74" s="13"/>
    </row>
    <row r="75" ht="14.25" customHeight="1">
      <c r="BG75" s="13"/>
      <c r="BH75" s="13"/>
    </row>
    <row r="76" ht="14.25" customHeight="1">
      <c r="BG76" s="13"/>
      <c r="BH76" s="13"/>
    </row>
    <row r="77" ht="14.25" customHeight="1">
      <c r="BG77" s="13"/>
      <c r="BH77" s="13"/>
    </row>
    <row r="78" ht="14.25" customHeight="1">
      <c r="BG78" s="13"/>
      <c r="BH78" s="13"/>
    </row>
    <row r="79" ht="14.25" customHeight="1">
      <c r="BG79" s="13"/>
      <c r="BH79" s="13"/>
    </row>
    <row r="80" ht="14.25" customHeight="1">
      <c r="BG80" s="13"/>
      <c r="BH80" s="13"/>
    </row>
    <row r="81" ht="14.25" customHeight="1">
      <c r="BG81" s="13"/>
      <c r="BH81" s="13"/>
    </row>
    <row r="82" ht="14.25" customHeight="1">
      <c r="BG82" s="13"/>
      <c r="BH82" s="13"/>
    </row>
    <row r="83" ht="14.25" customHeight="1">
      <c r="BG83" s="13"/>
      <c r="BH83" s="13"/>
    </row>
    <row r="84" ht="14.25" customHeight="1">
      <c r="BG84" s="13"/>
      <c r="BH84" s="13"/>
    </row>
    <row r="85" ht="14.25" customHeight="1">
      <c r="BG85" s="13"/>
      <c r="BH85" s="13"/>
    </row>
    <row r="86" ht="14.25" customHeight="1">
      <c r="BG86" s="13"/>
      <c r="BH86" s="13"/>
    </row>
    <row r="87" ht="14.25" customHeight="1">
      <c r="BG87" s="13"/>
      <c r="BH87" s="13"/>
    </row>
    <row r="88" ht="14.25" customHeight="1">
      <c r="BG88" s="13"/>
      <c r="BH88" s="13"/>
    </row>
    <row r="89" ht="14.25" customHeight="1">
      <c r="BG89" s="13"/>
      <c r="BH89" s="13"/>
    </row>
    <row r="90" ht="14.25" customHeight="1">
      <c r="BG90" s="13"/>
      <c r="BH90" s="13"/>
    </row>
    <row r="91" ht="14.25" customHeight="1">
      <c r="BG91" s="13"/>
      <c r="BH91" s="13"/>
    </row>
    <row r="92" ht="14.25" customHeight="1">
      <c r="BG92" s="13"/>
      <c r="BH92" s="13"/>
    </row>
    <row r="93" ht="14.25" customHeight="1">
      <c r="BG93" s="13"/>
      <c r="BH93" s="13"/>
    </row>
    <row r="94" ht="14.25" customHeight="1">
      <c r="BG94" s="13"/>
      <c r="BH94" s="13"/>
    </row>
    <row r="95" ht="14.25" customHeight="1">
      <c r="BG95" s="13"/>
      <c r="BH95" s="13"/>
    </row>
    <row r="96" ht="14.25" customHeight="1">
      <c r="BG96" s="13"/>
      <c r="BH96" s="13"/>
    </row>
    <row r="97" ht="14.25" customHeight="1">
      <c r="BG97" s="13"/>
      <c r="BH97" s="13"/>
    </row>
    <row r="98" ht="14.25" customHeight="1">
      <c r="BG98" s="13"/>
      <c r="BH98" s="13"/>
    </row>
    <row r="99" ht="14.25" customHeight="1">
      <c r="BG99" s="13"/>
      <c r="BH99" s="13"/>
    </row>
    <row r="100" ht="14.25" customHeight="1">
      <c r="BG100" s="13"/>
      <c r="BH100" s="13"/>
    </row>
    <row r="101" ht="14.25" customHeight="1">
      <c r="BG101" s="13"/>
      <c r="BH101" s="13"/>
    </row>
    <row r="102" ht="14.25" customHeight="1">
      <c r="BG102" s="13"/>
      <c r="BH102" s="13"/>
    </row>
    <row r="103" ht="14.25" customHeight="1">
      <c r="BG103" s="13"/>
      <c r="BH103" s="13"/>
    </row>
    <row r="104" ht="14.25" customHeight="1">
      <c r="BG104" s="13"/>
      <c r="BH104" s="13"/>
    </row>
    <row r="105" ht="14.25" customHeight="1">
      <c r="BG105" s="13"/>
      <c r="BH105" s="13"/>
    </row>
    <row r="106" ht="14.25" customHeight="1">
      <c r="BG106" s="13"/>
      <c r="BH106" s="13"/>
    </row>
    <row r="107" ht="14.25" customHeight="1">
      <c r="BG107" s="13"/>
      <c r="BH107" s="13"/>
    </row>
    <row r="108" ht="14.25" customHeight="1">
      <c r="BG108" s="13"/>
      <c r="BH108" s="13"/>
    </row>
    <row r="109" ht="14.25" customHeight="1">
      <c r="BG109" s="13"/>
      <c r="BH109" s="13"/>
    </row>
    <row r="110" ht="14.25" customHeight="1">
      <c r="BG110" s="13"/>
      <c r="BH110" s="13"/>
    </row>
    <row r="111" ht="14.25" customHeight="1">
      <c r="BG111" s="13"/>
      <c r="BH111" s="13"/>
    </row>
    <row r="112" ht="14.25" customHeight="1">
      <c r="BG112" s="13"/>
      <c r="BH112" s="13"/>
    </row>
    <row r="113" ht="14.25" customHeight="1">
      <c r="BG113" s="13"/>
      <c r="BH113" s="13"/>
    </row>
    <row r="114" ht="14.25" customHeight="1">
      <c r="BG114" s="13"/>
      <c r="BH114" s="13"/>
    </row>
    <row r="115" ht="14.25" customHeight="1">
      <c r="BG115" s="13"/>
      <c r="BH115" s="13"/>
    </row>
    <row r="116" ht="14.25" customHeight="1">
      <c r="BG116" s="13"/>
      <c r="BH116" s="13"/>
    </row>
    <row r="117" ht="14.25" customHeight="1">
      <c r="BG117" s="13"/>
      <c r="BH117" s="13"/>
    </row>
    <row r="118" ht="14.25" customHeight="1">
      <c r="BG118" s="13"/>
      <c r="BH118" s="13"/>
    </row>
    <row r="119" ht="14.25" customHeight="1">
      <c r="BG119" s="13"/>
      <c r="BH119" s="13"/>
    </row>
    <row r="120" ht="14.25" customHeight="1">
      <c r="BG120" s="13"/>
      <c r="BH120" s="13"/>
    </row>
    <row r="121" ht="14.25" customHeight="1">
      <c r="BG121" s="13"/>
      <c r="BH121" s="13"/>
    </row>
    <row r="122" ht="14.25" customHeight="1">
      <c r="BG122" s="13"/>
      <c r="BH122" s="13"/>
    </row>
    <row r="123" ht="14.25" customHeight="1">
      <c r="BG123" s="13"/>
      <c r="BH123" s="13"/>
    </row>
    <row r="124" ht="14.25" customHeight="1">
      <c r="BG124" s="13"/>
      <c r="BH124" s="13"/>
    </row>
    <row r="125" ht="14.25" customHeight="1">
      <c r="BG125" s="13"/>
      <c r="BH125" s="13"/>
    </row>
    <row r="126" ht="14.25" customHeight="1">
      <c r="BG126" s="13"/>
      <c r="BH126" s="13"/>
    </row>
    <row r="127" ht="14.25" customHeight="1">
      <c r="BG127" s="13"/>
      <c r="BH127" s="13"/>
    </row>
    <row r="128" ht="14.25" customHeight="1">
      <c r="BG128" s="13"/>
      <c r="BH128" s="13"/>
    </row>
    <row r="129" ht="14.25" customHeight="1">
      <c r="BG129" s="13"/>
      <c r="BH129" s="13"/>
    </row>
    <row r="130" ht="14.25" customHeight="1">
      <c r="BG130" s="13"/>
      <c r="BH130" s="13"/>
    </row>
    <row r="131" ht="14.25" customHeight="1">
      <c r="BG131" s="13"/>
      <c r="BH131" s="13"/>
    </row>
    <row r="132" ht="14.25" customHeight="1">
      <c r="BG132" s="13"/>
      <c r="BH132" s="13"/>
    </row>
    <row r="133" ht="14.25" customHeight="1">
      <c r="BG133" s="13"/>
      <c r="BH133" s="13"/>
    </row>
    <row r="134" ht="14.25" customHeight="1">
      <c r="BG134" s="13"/>
      <c r="BH134" s="13"/>
    </row>
    <row r="135" ht="14.25" customHeight="1">
      <c r="BG135" s="13"/>
      <c r="BH135" s="13"/>
    </row>
    <row r="136" ht="14.25" customHeight="1">
      <c r="BG136" s="13"/>
      <c r="BH136" s="13"/>
    </row>
    <row r="137" ht="14.25" customHeight="1">
      <c r="BG137" s="13"/>
      <c r="BH137" s="13"/>
    </row>
    <row r="138" ht="14.25" customHeight="1">
      <c r="BG138" s="13"/>
      <c r="BH138" s="13"/>
    </row>
    <row r="139" ht="14.25" customHeight="1">
      <c r="BG139" s="13"/>
      <c r="BH139" s="13"/>
    </row>
    <row r="140" ht="14.25" customHeight="1">
      <c r="BG140" s="13"/>
      <c r="BH140" s="13"/>
    </row>
    <row r="141" ht="14.25" customHeight="1">
      <c r="BG141" s="13"/>
      <c r="BH141" s="13"/>
    </row>
    <row r="142" ht="14.25" customHeight="1">
      <c r="BG142" s="13"/>
      <c r="BH142" s="13"/>
    </row>
    <row r="143" ht="14.25" customHeight="1">
      <c r="BG143" s="13"/>
      <c r="BH143" s="13"/>
    </row>
    <row r="144" ht="14.25" customHeight="1">
      <c r="BG144" s="13"/>
      <c r="BH144" s="13"/>
    </row>
    <row r="145" ht="14.25" customHeight="1">
      <c r="BG145" s="13"/>
      <c r="BH145" s="13"/>
    </row>
    <row r="146" ht="14.25" customHeight="1">
      <c r="BG146" s="13"/>
      <c r="BH146" s="13"/>
    </row>
    <row r="147" ht="14.25" customHeight="1">
      <c r="BG147" s="13"/>
      <c r="BH147" s="13"/>
    </row>
    <row r="148" ht="14.25" customHeight="1">
      <c r="BG148" s="13"/>
      <c r="BH148" s="13"/>
    </row>
    <row r="149" ht="14.25" customHeight="1">
      <c r="BG149" s="13"/>
      <c r="BH149" s="13"/>
    </row>
    <row r="150" ht="14.25" customHeight="1">
      <c r="BG150" s="13"/>
      <c r="BH150" s="13"/>
    </row>
    <row r="151" ht="14.25" customHeight="1">
      <c r="BG151" s="13"/>
      <c r="BH151" s="13"/>
    </row>
    <row r="152" ht="14.25" customHeight="1">
      <c r="BG152" s="13"/>
      <c r="BH152" s="13"/>
    </row>
    <row r="153" ht="14.25" customHeight="1">
      <c r="BG153" s="13"/>
      <c r="BH153" s="13"/>
    </row>
    <row r="154" ht="14.25" customHeight="1">
      <c r="BG154" s="13"/>
      <c r="BH154" s="13"/>
    </row>
    <row r="155" ht="14.25" customHeight="1">
      <c r="BG155" s="13"/>
      <c r="BH155" s="13"/>
    </row>
    <row r="156" ht="14.25" customHeight="1">
      <c r="BG156" s="13"/>
      <c r="BH156" s="13"/>
    </row>
    <row r="157" ht="14.25" customHeight="1">
      <c r="BG157" s="13"/>
      <c r="BH157" s="13"/>
    </row>
    <row r="158" ht="14.25" customHeight="1">
      <c r="BG158" s="13"/>
      <c r="BH158" s="13"/>
    </row>
    <row r="159" ht="14.25" customHeight="1">
      <c r="BG159" s="13"/>
      <c r="BH159" s="13"/>
    </row>
    <row r="160" ht="14.25" customHeight="1">
      <c r="BG160" s="13"/>
      <c r="BH160" s="13"/>
    </row>
    <row r="161" ht="14.25" customHeight="1">
      <c r="BG161" s="13"/>
      <c r="BH161" s="13"/>
    </row>
    <row r="162" ht="14.25" customHeight="1">
      <c r="BG162" s="13"/>
      <c r="BH162" s="13"/>
    </row>
    <row r="163" ht="14.25" customHeight="1">
      <c r="BG163" s="13"/>
      <c r="BH163" s="13"/>
    </row>
    <row r="164" ht="14.25" customHeight="1">
      <c r="BG164" s="13"/>
      <c r="BH164" s="13"/>
    </row>
    <row r="165" ht="14.25" customHeight="1">
      <c r="BG165" s="13"/>
      <c r="BH165" s="13"/>
    </row>
    <row r="166" ht="14.25" customHeight="1">
      <c r="BG166" s="13"/>
      <c r="BH166" s="13"/>
    </row>
    <row r="167" ht="14.25" customHeight="1">
      <c r="BG167" s="13"/>
      <c r="BH167" s="13"/>
    </row>
    <row r="168" ht="14.25" customHeight="1">
      <c r="BG168" s="13"/>
      <c r="BH168" s="13"/>
    </row>
    <row r="169" ht="14.25" customHeight="1">
      <c r="BG169" s="13"/>
      <c r="BH169" s="13"/>
    </row>
    <row r="170" ht="14.25" customHeight="1">
      <c r="BG170" s="13"/>
      <c r="BH170" s="13"/>
    </row>
    <row r="171" ht="14.25" customHeight="1">
      <c r="BG171" s="13"/>
      <c r="BH171" s="13"/>
    </row>
    <row r="172" ht="14.25" customHeight="1">
      <c r="BG172" s="13"/>
      <c r="BH172" s="13"/>
    </row>
    <row r="173" ht="14.25" customHeight="1">
      <c r="BG173" s="13"/>
      <c r="BH173" s="13"/>
    </row>
    <row r="174" ht="14.25" customHeight="1">
      <c r="BG174" s="13"/>
      <c r="BH174" s="13"/>
    </row>
    <row r="175" ht="14.25" customHeight="1">
      <c r="BG175" s="13"/>
      <c r="BH175" s="13"/>
    </row>
    <row r="176" ht="14.25" customHeight="1">
      <c r="BG176" s="13"/>
      <c r="BH176" s="13"/>
    </row>
    <row r="177" ht="14.25" customHeight="1">
      <c r="BG177" s="13"/>
      <c r="BH177" s="13"/>
    </row>
    <row r="178" ht="14.25" customHeight="1">
      <c r="BG178" s="13"/>
      <c r="BH178" s="13"/>
    </row>
    <row r="179" ht="14.25" customHeight="1">
      <c r="BG179" s="13"/>
      <c r="BH179" s="13"/>
    </row>
    <row r="180" ht="14.25" customHeight="1">
      <c r="BG180" s="13"/>
      <c r="BH180" s="13"/>
    </row>
    <row r="181" ht="14.25" customHeight="1">
      <c r="BG181" s="13"/>
      <c r="BH181" s="13"/>
    </row>
    <row r="182" ht="14.25" customHeight="1">
      <c r="BG182" s="13"/>
      <c r="BH182" s="13"/>
    </row>
    <row r="183" ht="14.25" customHeight="1">
      <c r="BG183" s="13"/>
      <c r="BH183" s="13"/>
    </row>
    <row r="184" ht="14.25" customHeight="1">
      <c r="BG184" s="13"/>
      <c r="BH184" s="13"/>
    </row>
    <row r="185" ht="14.25" customHeight="1">
      <c r="BG185" s="13"/>
      <c r="BH185" s="13"/>
    </row>
    <row r="186" ht="14.25" customHeight="1">
      <c r="BG186" s="13"/>
      <c r="BH186" s="13"/>
    </row>
    <row r="187" ht="14.25" customHeight="1">
      <c r="BG187" s="13"/>
      <c r="BH187" s="13"/>
    </row>
    <row r="188" ht="14.25" customHeight="1">
      <c r="BG188" s="13"/>
      <c r="BH188" s="13"/>
    </row>
    <row r="189" ht="14.25" customHeight="1">
      <c r="BG189" s="13"/>
      <c r="BH189" s="13"/>
    </row>
    <row r="190" ht="14.25" customHeight="1">
      <c r="BG190" s="13"/>
      <c r="BH190" s="13"/>
    </row>
    <row r="191" ht="14.25" customHeight="1">
      <c r="BG191" s="13"/>
      <c r="BH191" s="13"/>
    </row>
    <row r="192" ht="14.25" customHeight="1">
      <c r="BG192" s="13"/>
      <c r="BH192" s="13"/>
    </row>
    <row r="193" ht="14.25" customHeight="1">
      <c r="BG193" s="13"/>
      <c r="BH193" s="13"/>
    </row>
    <row r="194" ht="14.25" customHeight="1">
      <c r="BG194" s="13"/>
      <c r="BH194" s="13"/>
    </row>
    <row r="195" ht="14.25" customHeight="1">
      <c r="BG195" s="13"/>
      <c r="BH195" s="13"/>
    </row>
    <row r="196" ht="14.25" customHeight="1">
      <c r="BG196" s="13"/>
      <c r="BH196" s="13"/>
    </row>
    <row r="197" ht="14.25" customHeight="1">
      <c r="BG197" s="13"/>
      <c r="BH197" s="13"/>
    </row>
    <row r="198" ht="14.25" customHeight="1">
      <c r="BG198" s="13"/>
      <c r="BH198" s="13"/>
    </row>
    <row r="199" ht="14.25" customHeight="1">
      <c r="BG199" s="13"/>
      <c r="BH199" s="13"/>
    </row>
    <row r="200" ht="14.25" customHeight="1">
      <c r="BG200" s="13"/>
      <c r="BH200" s="13"/>
    </row>
    <row r="201" ht="14.25" customHeight="1">
      <c r="BG201" s="13"/>
      <c r="BH201" s="13"/>
    </row>
    <row r="202" ht="14.25" customHeight="1">
      <c r="BG202" s="13"/>
      <c r="BH202" s="13"/>
    </row>
    <row r="203" ht="14.25" customHeight="1">
      <c r="BG203" s="13"/>
      <c r="BH203" s="13"/>
    </row>
    <row r="204" ht="14.25" customHeight="1">
      <c r="BG204" s="13"/>
      <c r="BH204" s="13"/>
    </row>
    <row r="205" ht="14.25" customHeight="1">
      <c r="BG205" s="13"/>
      <c r="BH205" s="13"/>
    </row>
    <row r="206" ht="14.25" customHeight="1">
      <c r="BG206" s="13"/>
      <c r="BH206" s="13"/>
    </row>
    <row r="207" ht="14.25" customHeight="1">
      <c r="BG207" s="13"/>
      <c r="BH207" s="13"/>
    </row>
    <row r="208" ht="14.25" customHeight="1">
      <c r="BG208" s="13"/>
      <c r="BH208" s="13"/>
    </row>
    <row r="209" ht="14.25" customHeight="1">
      <c r="BG209" s="13"/>
      <c r="BH209" s="13"/>
    </row>
    <row r="210" ht="14.25" customHeight="1">
      <c r="BG210" s="13"/>
      <c r="BH210" s="13"/>
    </row>
    <row r="211" ht="14.25" customHeight="1">
      <c r="BG211" s="13"/>
      <c r="BH211" s="13"/>
    </row>
    <row r="212" ht="14.25" customHeight="1">
      <c r="BG212" s="13"/>
      <c r="BH212" s="13"/>
    </row>
    <row r="213" ht="14.25" customHeight="1">
      <c r="BG213" s="13"/>
      <c r="BH213" s="13"/>
    </row>
    <row r="214" ht="14.25" customHeight="1">
      <c r="BG214" s="13"/>
      <c r="BH214" s="13"/>
    </row>
    <row r="215" ht="14.25" customHeight="1">
      <c r="BG215" s="13"/>
      <c r="BH215" s="13"/>
    </row>
    <row r="216" ht="14.25" customHeight="1">
      <c r="BG216" s="13"/>
      <c r="BH216" s="13"/>
    </row>
    <row r="217" ht="14.25" customHeight="1">
      <c r="BG217" s="13"/>
      <c r="BH217" s="13"/>
    </row>
    <row r="218" ht="14.25" customHeight="1">
      <c r="BG218" s="13"/>
      <c r="BH218" s="13"/>
    </row>
    <row r="219" ht="14.25" customHeight="1">
      <c r="BG219" s="13"/>
      <c r="BH219" s="13"/>
    </row>
    <row r="220" ht="14.25" customHeight="1">
      <c r="BG220" s="13"/>
      <c r="BH220" s="13"/>
    </row>
    <row r="221" ht="14.25" customHeight="1">
      <c r="BG221" s="13"/>
      <c r="BH221" s="13"/>
    </row>
    <row r="222" ht="14.25" customHeight="1">
      <c r="BG222" s="13"/>
      <c r="BH222" s="13"/>
    </row>
    <row r="223" ht="14.25" customHeight="1">
      <c r="BG223" s="13"/>
      <c r="BH223" s="13"/>
    </row>
    <row r="224" ht="14.25" customHeight="1">
      <c r="BG224" s="13"/>
      <c r="BH224" s="13"/>
    </row>
    <row r="225" ht="14.25" customHeight="1">
      <c r="BG225" s="13"/>
      <c r="BH225" s="13"/>
    </row>
    <row r="226" ht="14.25" customHeight="1">
      <c r="BG226" s="13"/>
      <c r="BH226" s="13"/>
    </row>
    <row r="227" ht="14.25" customHeight="1">
      <c r="BG227" s="13"/>
      <c r="BH227" s="13"/>
    </row>
    <row r="228" ht="14.25" customHeight="1">
      <c r="BG228" s="13"/>
      <c r="BH228" s="13"/>
    </row>
    <row r="229" ht="14.25" customHeight="1">
      <c r="BG229" s="13"/>
      <c r="BH229" s="13"/>
    </row>
    <row r="230" ht="14.25" customHeight="1">
      <c r="BG230" s="13"/>
      <c r="BH230" s="13"/>
    </row>
    <row r="231" ht="14.25" customHeight="1">
      <c r="BG231" s="13"/>
      <c r="BH231" s="13"/>
    </row>
    <row r="232" ht="14.25" customHeight="1">
      <c r="BG232" s="13"/>
      <c r="BH232" s="13"/>
    </row>
    <row r="233" ht="14.25" customHeight="1">
      <c r="BG233" s="13"/>
      <c r="BH233" s="13"/>
    </row>
    <row r="234" ht="14.25" customHeight="1">
      <c r="BG234" s="13"/>
      <c r="BH234" s="13"/>
    </row>
    <row r="235" ht="14.25" customHeight="1">
      <c r="BG235" s="13"/>
      <c r="BH235" s="13"/>
    </row>
    <row r="236" ht="14.25" customHeight="1">
      <c r="BG236" s="13"/>
      <c r="BH236" s="13"/>
    </row>
    <row r="237" ht="14.25" customHeight="1">
      <c r="BG237" s="13"/>
      <c r="BH237" s="13"/>
    </row>
    <row r="238" ht="14.25" customHeight="1">
      <c r="BG238" s="13"/>
      <c r="BH238" s="13"/>
    </row>
    <row r="239" ht="14.25" customHeight="1">
      <c r="BG239" s="13"/>
      <c r="BH239" s="13"/>
    </row>
    <row r="240" ht="14.25" customHeight="1">
      <c r="BG240" s="13"/>
      <c r="BH240" s="13"/>
    </row>
    <row r="241" ht="14.25" customHeight="1">
      <c r="BG241" s="13"/>
      <c r="BH241" s="13"/>
    </row>
    <row r="242" ht="14.25" customHeight="1">
      <c r="BG242" s="13"/>
      <c r="BH242" s="13"/>
    </row>
    <row r="243" ht="14.25" customHeight="1">
      <c r="BG243" s="13"/>
      <c r="BH243" s="13"/>
    </row>
    <row r="244" ht="14.25" customHeight="1">
      <c r="BG244" s="13"/>
      <c r="BH244" s="13"/>
    </row>
    <row r="245" ht="14.25" customHeight="1">
      <c r="BG245" s="13"/>
      <c r="BH245" s="13"/>
    </row>
    <row r="246" ht="14.25" customHeight="1">
      <c r="BG246" s="13"/>
      <c r="BH246" s="13"/>
    </row>
    <row r="247" ht="14.25" customHeight="1">
      <c r="BG247" s="13"/>
      <c r="BH247" s="13"/>
    </row>
    <row r="248" ht="14.25" customHeight="1">
      <c r="BG248" s="13"/>
      <c r="BH248" s="13"/>
    </row>
    <row r="249" ht="14.25" customHeight="1">
      <c r="BG249" s="13"/>
      <c r="BH249" s="13"/>
    </row>
    <row r="250" ht="14.25" customHeight="1">
      <c r="BG250" s="13"/>
      <c r="BH250" s="13"/>
    </row>
    <row r="251" ht="14.25" customHeight="1">
      <c r="BG251" s="13"/>
      <c r="BH251" s="13"/>
    </row>
    <row r="252" ht="14.25" customHeight="1">
      <c r="BG252" s="13"/>
      <c r="BH252" s="13"/>
    </row>
    <row r="253" ht="14.25" customHeight="1">
      <c r="BG253" s="13"/>
      <c r="BH253" s="13"/>
    </row>
    <row r="254" ht="14.25" customHeight="1">
      <c r="BG254" s="13"/>
      <c r="BH254" s="13"/>
    </row>
    <row r="255" ht="14.25" customHeight="1">
      <c r="BG255" s="13"/>
      <c r="BH255" s="13"/>
    </row>
    <row r="256" ht="14.25" customHeight="1">
      <c r="BG256" s="13"/>
      <c r="BH256" s="13"/>
    </row>
    <row r="257" ht="14.25" customHeight="1">
      <c r="BG257" s="13"/>
      <c r="BH257" s="13"/>
    </row>
    <row r="258" ht="14.25" customHeight="1">
      <c r="BG258" s="13"/>
      <c r="BH258" s="13"/>
    </row>
    <row r="259" ht="14.25" customHeight="1">
      <c r="BG259" s="13"/>
      <c r="BH259" s="13"/>
    </row>
    <row r="260" ht="14.25" customHeight="1">
      <c r="BG260" s="13"/>
      <c r="BH260" s="13"/>
    </row>
    <row r="261" ht="14.25" customHeight="1">
      <c r="BG261" s="13"/>
      <c r="BH261" s="13"/>
    </row>
    <row r="262" ht="14.25" customHeight="1">
      <c r="BG262" s="13"/>
      <c r="BH262" s="13"/>
    </row>
    <row r="263" ht="14.25" customHeight="1">
      <c r="BG263" s="13"/>
      <c r="BH263" s="13"/>
    </row>
    <row r="264" ht="14.25" customHeight="1">
      <c r="BG264" s="13"/>
      <c r="BH264" s="13"/>
    </row>
    <row r="265" ht="14.25" customHeight="1">
      <c r="BG265" s="13"/>
      <c r="BH265" s="13"/>
    </row>
    <row r="266" ht="14.25" customHeight="1">
      <c r="BG266" s="13"/>
      <c r="BH266" s="13"/>
    </row>
    <row r="267" ht="14.25" customHeight="1">
      <c r="BG267" s="13"/>
      <c r="BH267" s="13"/>
    </row>
    <row r="268" ht="14.25" customHeight="1">
      <c r="BG268" s="13"/>
      <c r="BH268" s="13"/>
    </row>
    <row r="269" ht="14.25" customHeight="1">
      <c r="BG269" s="13"/>
      <c r="BH269" s="13"/>
    </row>
    <row r="270" ht="14.25" customHeight="1">
      <c r="BG270" s="13"/>
      <c r="BH270" s="13"/>
    </row>
    <row r="271" ht="14.25" customHeight="1">
      <c r="BG271" s="13"/>
      <c r="BH271" s="13"/>
    </row>
    <row r="272" ht="14.25" customHeight="1">
      <c r="BG272" s="13"/>
      <c r="BH272" s="13"/>
    </row>
    <row r="273" ht="14.25" customHeight="1">
      <c r="BG273" s="13"/>
      <c r="BH273" s="13"/>
    </row>
    <row r="274" ht="14.25" customHeight="1">
      <c r="BG274" s="13"/>
      <c r="BH274" s="13"/>
    </row>
    <row r="275" ht="14.25" customHeight="1">
      <c r="BG275" s="13"/>
      <c r="BH275" s="13"/>
    </row>
    <row r="276" ht="14.25" customHeight="1">
      <c r="BG276" s="13"/>
      <c r="BH276" s="13"/>
    </row>
    <row r="277" ht="14.25" customHeight="1">
      <c r="BG277" s="13"/>
      <c r="BH277" s="13"/>
    </row>
    <row r="278" ht="14.25" customHeight="1">
      <c r="BG278" s="13"/>
      <c r="BH278" s="13"/>
    </row>
    <row r="279" ht="14.25" customHeight="1">
      <c r="BG279" s="13"/>
      <c r="BH279" s="13"/>
    </row>
    <row r="280" ht="14.25" customHeight="1">
      <c r="BG280" s="13"/>
      <c r="BH280" s="13"/>
    </row>
    <row r="281" ht="14.25" customHeight="1">
      <c r="BG281" s="13"/>
      <c r="BH281" s="13"/>
    </row>
    <row r="282" ht="14.25" customHeight="1">
      <c r="BG282" s="13"/>
      <c r="BH282" s="13"/>
    </row>
    <row r="283" ht="14.25" customHeight="1">
      <c r="BG283" s="13"/>
      <c r="BH283" s="13"/>
    </row>
    <row r="284" ht="14.25" customHeight="1">
      <c r="BG284" s="13"/>
      <c r="BH284" s="13"/>
    </row>
    <row r="285" ht="14.25" customHeight="1">
      <c r="BG285" s="13"/>
      <c r="BH285" s="13"/>
    </row>
    <row r="286" ht="14.25" customHeight="1">
      <c r="BG286" s="13"/>
      <c r="BH286" s="13"/>
    </row>
    <row r="287" ht="14.25" customHeight="1">
      <c r="BG287" s="13"/>
      <c r="BH287" s="13"/>
    </row>
    <row r="288" ht="14.25" customHeight="1">
      <c r="BG288" s="13"/>
      <c r="BH288" s="13"/>
    </row>
    <row r="289" ht="14.25" customHeight="1">
      <c r="BG289" s="13"/>
      <c r="BH289" s="13"/>
    </row>
    <row r="290" ht="14.25" customHeight="1">
      <c r="BG290" s="13"/>
      <c r="BH290" s="13"/>
    </row>
    <row r="291" ht="14.25" customHeight="1">
      <c r="BG291" s="13"/>
      <c r="BH291" s="13"/>
    </row>
    <row r="292" ht="14.25" customHeight="1">
      <c r="BG292" s="13"/>
      <c r="BH292" s="13"/>
    </row>
    <row r="293" ht="14.25" customHeight="1">
      <c r="BG293" s="13"/>
      <c r="BH293" s="13"/>
    </row>
    <row r="294" ht="14.25" customHeight="1">
      <c r="BG294" s="13"/>
      <c r="BH294" s="13"/>
    </row>
    <row r="295" ht="14.25" customHeight="1">
      <c r="BG295" s="13"/>
      <c r="BH295" s="13"/>
    </row>
    <row r="296" ht="14.25" customHeight="1">
      <c r="BG296" s="13"/>
      <c r="BH296" s="13"/>
    </row>
    <row r="297" ht="14.25" customHeight="1">
      <c r="BG297" s="13"/>
      <c r="BH297" s="13"/>
    </row>
    <row r="298" ht="14.25" customHeight="1">
      <c r="BG298" s="13"/>
      <c r="BH298" s="13"/>
    </row>
    <row r="299" ht="14.25" customHeight="1">
      <c r="BG299" s="13"/>
      <c r="BH299" s="13"/>
    </row>
    <row r="300" ht="14.25" customHeight="1">
      <c r="BG300" s="13"/>
      <c r="BH300" s="13"/>
    </row>
    <row r="301" ht="14.25" customHeight="1">
      <c r="BG301" s="13"/>
      <c r="BH301" s="13"/>
    </row>
    <row r="302" ht="14.25" customHeight="1">
      <c r="BG302" s="13"/>
      <c r="BH302" s="13"/>
    </row>
    <row r="303" ht="14.25" customHeight="1">
      <c r="BG303" s="13"/>
      <c r="BH303" s="13"/>
    </row>
    <row r="304" ht="14.25" customHeight="1">
      <c r="BG304" s="13"/>
      <c r="BH304" s="13"/>
    </row>
    <row r="305" ht="14.25" customHeight="1">
      <c r="BG305" s="13"/>
      <c r="BH305" s="13"/>
    </row>
    <row r="306" ht="14.25" customHeight="1">
      <c r="BG306" s="13"/>
      <c r="BH306" s="13"/>
    </row>
    <row r="307" ht="14.25" customHeight="1">
      <c r="BG307" s="13"/>
      <c r="BH307" s="13"/>
    </row>
    <row r="308" ht="14.25" customHeight="1">
      <c r="BG308" s="13"/>
      <c r="BH308" s="13"/>
    </row>
    <row r="309" ht="14.25" customHeight="1">
      <c r="BG309" s="13"/>
      <c r="BH309" s="13"/>
    </row>
    <row r="310" ht="14.25" customHeight="1">
      <c r="BG310" s="13"/>
      <c r="BH310" s="13"/>
    </row>
    <row r="311" ht="14.25" customHeight="1">
      <c r="BG311" s="13"/>
      <c r="BH311" s="13"/>
    </row>
    <row r="312" ht="14.25" customHeight="1">
      <c r="BG312" s="13"/>
      <c r="BH312" s="13"/>
    </row>
    <row r="313" ht="14.25" customHeight="1">
      <c r="BG313" s="13"/>
      <c r="BH313" s="13"/>
    </row>
    <row r="314" ht="14.25" customHeight="1">
      <c r="BG314" s="13"/>
      <c r="BH314" s="13"/>
    </row>
    <row r="315" ht="14.25" customHeight="1">
      <c r="BG315" s="13"/>
      <c r="BH315" s="13"/>
    </row>
    <row r="316" ht="14.25" customHeight="1">
      <c r="BG316" s="13"/>
      <c r="BH316" s="13"/>
    </row>
    <row r="317" ht="14.25" customHeight="1">
      <c r="BG317" s="13"/>
      <c r="BH317" s="13"/>
    </row>
    <row r="318" ht="14.25" customHeight="1">
      <c r="BG318" s="13"/>
      <c r="BH318" s="13"/>
    </row>
    <row r="319" ht="14.25" customHeight="1">
      <c r="BG319" s="13"/>
      <c r="BH319" s="13"/>
    </row>
    <row r="320" ht="14.25" customHeight="1">
      <c r="BG320" s="13"/>
      <c r="BH320" s="13"/>
    </row>
    <row r="321" ht="14.25" customHeight="1">
      <c r="BG321" s="13"/>
      <c r="BH321" s="13"/>
    </row>
    <row r="322" ht="14.25" customHeight="1">
      <c r="BG322" s="13"/>
      <c r="BH322" s="13"/>
    </row>
    <row r="323" ht="14.25" customHeight="1">
      <c r="BG323" s="13"/>
      <c r="BH323" s="13"/>
    </row>
    <row r="324" ht="14.25" customHeight="1">
      <c r="BG324" s="13"/>
      <c r="BH324" s="13"/>
    </row>
    <row r="325" ht="14.25" customHeight="1">
      <c r="BG325" s="13"/>
      <c r="BH325" s="13"/>
    </row>
    <row r="326" ht="14.25" customHeight="1">
      <c r="BG326" s="13"/>
      <c r="BH326" s="13"/>
    </row>
    <row r="327" ht="14.25" customHeight="1">
      <c r="BG327" s="13"/>
      <c r="BH327" s="13"/>
    </row>
    <row r="328" ht="14.25" customHeight="1">
      <c r="BG328" s="13"/>
      <c r="BH328" s="13"/>
    </row>
    <row r="329" ht="14.25" customHeight="1">
      <c r="BG329" s="13"/>
      <c r="BH329" s="13"/>
    </row>
    <row r="330" ht="14.25" customHeight="1">
      <c r="BG330" s="13"/>
      <c r="BH330" s="13"/>
    </row>
    <row r="331" ht="14.25" customHeight="1">
      <c r="BG331" s="13"/>
      <c r="BH331" s="13"/>
    </row>
    <row r="332" ht="14.25" customHeight="1">
      <c r="BG332" s="13"/>
      <c r="BH332" s="13"/>
    </row>
    <row r="333" ht="14.25" customHeight="1">
      <c r="BG333" s="13"/>
      <c r="BH333" s="13"/>
    </row>
    <row r="334" ht="14.25" customHeight="1">
      <c r="BG334" s="13"/>
      <c r="BH334" s="13"/>
    </row>
    <row r="335" ht="14.25" customHeight="1">
      <c r="BG335" s="13"/>
      <c r="BH335" s="13"/>
    </row>
    <row r="336" ht="14.25" customHeight="1">
      <c r="BG336" s="13"/>
      <c r="BH336" s="13"/>
    </row>
    <row r="337" ht="14.25" customHeight="1">
      <c r="BG337" s="13"/>
      <c r="BH337" s="13"/>
    </row>
    <row r="338" ht="14.25" customHeight="1">
      <c r="BG338" s="13"/>
      <c r="BH338" s="13"/>
    </row>
    <row r="339" ht="14.25" customHeight="1">
      <c r="BG339" s="13"/>
      <c r="BH339" s="13"/>
    </row>
    <row r="340" ht="14.25" customHeight="1">
      <c r="BG340" s="13"/>
      <c r="BH340" s="13"/>
    </row>
    <row r="341" ht="14.25" customHeight="1">
      <c r="BG341" s="13"/>
      <c r="BH341" s="13"/>
    </row>
    <row r="342" ht="14.25" customHeight="1">
      <c r="BG342" s="13"/>
      <c r="BH342" s="13"/>
    </row>
    <row r="343" ht="14.25" customHeight="1">
      <c r="BG343" s="13"/>
      <c r="BH343" s="13"/>
    </row>
    <row r="344" ht="14.25" customHeight="1">
      <c r="BG344" s="13"/>
      <c r="BH344" s="13"/>
    </row>
    <row r="345" ht="14.25" customHeight="1">
      <c r="BG345" s="13"/>
      <c r="BH345" s="13"/>
    </row>
    <row r="346" ht="14.25" customHeight="1">
      <c r="BG346" s="13"/>
      <c r="BH346" s="13"/>
    </row>
    <row r="347" ht="14.25" customHeight="1">
      <c r="BG347" s="13"/>
      <c r="BH347" s="13"/>
    </row>
    <row r="348" ht="14.25" customHeight="1">
      <c r="BG348" s="13"/>
      <c r="BH348" s="13"/>
    </row>
    <row r="349" ht="14.25" customHeight="1">
      <c r="BG349" s="13"/>
      <c r="BH349" s="13"/>
    </row>
    <row r="350" ht="14.25" customHeight="1">
      <c r="BG350" s="13"/>
      <c r="BH350" s="13"/>
    </row>
    <row r="351" ht="14.25" customHeight="1">
      <c r="BG351" s="13"/>
      <c r="BH351" s="13"/>
    </row>
    <row r="352" ht="14.25" customHeight="1">
      <c r="BG352" s="13"/>
      <c r="BH352" s="13"/>
    </row>
    <row r="353" ht="14.25" customHeight="1">
      <c r="BG353" s="13"/>
      <c r="BH353" s="13"/>
    </row>
    <row r="354" ht="14.25" customHeight="1">
      <c r="BG354" s="13"/>
      <c r="BH354" s="13"/>
    </row>
    <row r="355" ht="14.25" customHeight="1">
      <c r="BG355" s="13"/>
      <c r="BH355" s="13"/>
    </row>
    <row r="356" ht="14.25" customHeight="1">
      <c r="BG356" s="13"/>
      <c r="BH356" s="13"/>
    </row>
    <row r="357" ht="14.25" customHeight="1">
      <c r="BG357" s="13"/>
      <c r="BH357" s="13"/>
    </row>
    <row r="358" ht="14.25" customHeight="1">
      <c r="BG358" s="13"/>
      <c r="BH358" s="13"/>
    </row>
    <row r="359" ht="14.25" customHeight="1">
      <c r="BG359" s="13"/>
      <c r="BH359" s="13"/>
    </row>
    <row r="360" ht="14.25" customHeight="1">
      <c r="BG360" s="13"/>
      <c r="BH360" s="13"/>
    </row>
    <row r="361" ht="14.25" customHeight="1">
      <c r="BG361" s="13"/>
      <c r="BH361" s="13"/>
    </row>
    <row r="362" ht="14.25" customHeight="1">
      <c r="BG362" s="13"/>
      <c r="BH362" s="13"/>
    </row>
    <row r="363" ht="14.25" customHeight="1">
      <c r="BG363" s="13"/>
      <c r="BH363" s="13"/>
    </row>
    <row r="364" ht="14.25" customHeight="1">
      <c r="BG364" s="13"/>
      <c r="BH364" s="13"/>
    </row>
    <row r="365" ht="14.25" customHeight="1">
      <c r="BG365" s="13"/>
      <c r="BH365" s="13"/>
    </row>
    <row r="366" ht="14.25" customHeight="1">
      <c r="BG366" s="13"/>
      <c r="BH366" s="13"/>
    </row>
    <row r="367" ht="14.25" customHeight="1">
      <c r="BG367" s="13"/>
      <c r="BH367" s="13"/>
    </row>
    <row r="368" ht="14.25" customHeight="1">
      <c r="BG368" s="13"/>
      <c r="BH368" s="13"/>
    </row>
    <row r="369" ht="14.25" customHeight="1">
      <c r="BG369" s="13"/>
      <c r="BH369" s="13"/>
    </row>
    <row r="370" ht="14.25" customHeight="1">
      <c r="BG370" s="13"/>
      <c r="BH370" s="13"/>
    </row>
    <row r="371" ht="14.25" customHeight="1">
      <c r="BG371" s="13"/>
      <c r="BH371" s="13"/>
    </row>
    <row r="372" ht="14.25" customHeight="1">
      <c r="BG372" s="13"/>
      <c r="BH372" s="13"/>
    </row>
    <row r="373" ht="14.25" customHeight="1">
      <c r="BG373" s="13"/>
      <c r="BH373" s="13"/>
    </row>
    <row r="374" ht="14.25" customHeight="1">
      <c r="BG374" s="13"/>
      <c r="BH374" s="13"/>
    </row>
    <row r="375" ht="14.25" customHeight="1">
      <c r="BG375" s="13"/>
      <c r="BH375" s="13"/>
    </row>
    <row r="376" ht="14.25" customHeight="1">
      <c r="BG376" s="13"/>
      <c r="BH376" s="13"/>
    </row>
    <row r="377" ht="14.25" customHeight="1">
      <c r="BG377" s="13"/>
      <c r="BH377" s="13"/>
    </row>
    <row r="378" ht="14.25" customHeight="1">
      <c r="BG378" s="13"/>
      <c r="BH378" s="13"/>
    </row>
    <row r="379" ht="14.25" customHeight="1">
      <c r="BG379" s="13"/>
      <c r="BH379" s="13"/>
    </row>
    <row r="380" ht="14.25" customHeight="1">
      <c r="BG380" s="13"/>
      <c r="BH380" s="13"/>
    </row>
    <row r="381" ht="14.25" customHeight="1">
      <c r="BG381" s="13"/>
      <c r="BH381" s="13"/>
    </row>
    <row r="382" ht="14.25" customHeight="1">
      <c r="BG382" s="13"/>
      <c r="BH382" s="13"/>
    </row>
    <row r="383" ht="14.25" customHeight="1">
      <c r="BG383" s="13"/>
      <c r="BH383" s="13"/>
    </row>
    <row r="384" ht="14.25" customHeight="1">
      <c r="BG384" s="13"/>
      <c r="BH384" s="13"/>
    </row>
    <row r="385" ht="14.25" customHeight="1">
      <c r="BG385" s="13"/>
      <c r="BH385" s="13"/>
    </row>
    <row r="386" ht="14.25" customHeight="1">
      <c r="BG386" s="13"/>
      <c r="BH386" s="13"/>
    </row>
    <row r="387" ht="14.25" customHeight="1">
      <c r="BG387" s="13"/>
      <c r="BH387" s="13"/>
    </row>
    <row r="388" ht="14.25" customHeight="1">
      <c r="BG388" s="13"/>
      <c r="BH388" s="13"/>
    </row>
    <row r="389" ht="14.25" customHeight="1">
      <c r="BG389" s="13"/>
      <c r="BH389" s="13"/>
    </row>
    <row r="390" ht="14.25" customHeight="1">
      <c r="BG390" s="13"/>
      <c r="BH390" s="13"/>
    </row>
    <row r="391" ht="14.25" customHeight="1">
      <c r="BG391" s="13"/>
      <c r="BH391" s="13"/>
    </row>
    <row r="392" ht="14.25" customHeight="1">
      <c r="BG392" s="13"/>
      <c r="BH392" s="13"/>
    </row>
    <row r="393" ht="14.25" customHeight="1">
      <c r="BG393" s="13"/>
      <c r="BH393" s="13"/>
    </row>
    <row r="394" ht="14.25" customHeight="1">
      <c r="BG394" s="13"/>
      <c r="BH394" s="13"/>
    </row>
    <row r="395" ht="14.25" customHeight="1">
      <c r="BG395" s="13"/>
      <c r="BH395" s="13"/>
    </row>
    <row r="396" ht="14.25" customHeight="1">
      <c r="BG396" s="13"/>
      <c r="BH396" s="13"/>
    </row>
    <row r="397" ht="14.25" customHeight="1">
      <c r="BG397" s="13"/>
      <c r="BH397" s="13"/>
    </row>
    <row r="398" ht="14.25" customHeight="1">
      <c r="BG398" s="13"/>
      <c r="BH398" s="13"/>
    </row>
    <row r="399" ht="14.25" customHeight="1">
      <c r="BG399" s="13"/>
      <c r="BH399" s="13"/>
    </row>
    <row r="400" ht="14.25" customHeight="1">
      <c r="BG400" s="13"/>
      <c r="BH400" s="13"/>
    </row>
    <row r="401" ht="14.25" customHeight="1">
      <c r="BG401" s="13"/>
      <c r="BH401" s="13"/>
    </row>
    <row r="402" ht="14.25" customHeight="1">
      <c r="BG402" s="13"/>
      <c r="BH402" s="13"/>
    </row>
    <row r="403" ht="14.25" customHeight="1">
      <c r="BG403" s="13"/>
      <c r="BH403" s="13"/>
    </row>
    <row r="404" ht="14.25" customHeight="1">
      <c r="BG404" s="13"/>
      <c r="BH404" s="13"/>
    </row>
    <row r="405" ht="14.25" customHeight="1">
      <c r="BG405" s="13"/>
      <c r="BH405" s="13"/>
    </row>
    <row r="406" ht="14.25" customHeight="1">
      <c r="BG406" s="13"/>
      <c r="BH406" s="13"/>
    </row>
    <row r="407" ht="14.25" customHeight="1">
      <c r="BG407" s="13"/>
      <c r="BH407" s="13"/>
    </row>
    <row r="408" ht="14.25" customHeight="1">
      <c r="BG408" s="13"/>
      <c r="BH408" s="13"/>
    </row>
    <row r="409" ht="14.25" customHeight="1">
      <c r="BG409" s="13"/>
      <c r="BH409" s="13"/>
    </row>
    <row r="410" ht="14.25" customHeight="1">
      <c r="BG410" s="13"/>
      <c r="BH410" s="13"/>
    </row>
    <row r="411" ht="14.25" customHeight="1">
      <c r="BG411" s="13"/>
      <c r="BH411" s="13"/>
    </row>
    <row r="412" ht="14.25" customHeight="1">
      <c r="BG412" s="13"/>
      <c r="BH412" s="13"/>
    </row>
    <row r="413" ht="14.25" customHeight="1">
      <c r="BG413" s="13"/>
      <c r="BH413" s="13"/>
    </row>
    <row r="414" ht="14.25" customHeight="1">
      <c r="BG414" s="13"/>
      <c r="BH414" s="13"/>
    </row>
    <row r="415" ht="14.25" customHeight="1">
      <c r="BG415" s="13"/>
      <c r="BH415" s="13"/>
    </row>
    <row r="416" ht="14.25" customHeight="1">
      <c r="BG416" s="13"/>
      <c r="BH416" s="13"/>
    </row>
    <row r="417" ht="14.25" customHeight="1">
      <c r="BG417" s="13"/>
      <c r="BH417" s="13"/>
    </row>
    <row r="418" ht="14.25" customHeight="1">
      <c r="BG418" s="13"/>
      <c r="BH418" s="13"/>
    </row>
    <row r="419" ht="14.25" customHeight="1">
      <c r="BG419" s="13"/>
      <c r="BH419" s="13"/>
    </row>
    <row r="420" ht="14.25" customHeight="1">
      <c r="BG420" s="13"/>
      <c r="BH420" s="13"/>
    </row>
    <row r="421" ht="14.25" customHeight="1">
      <c r="BG421" s="13"/>
      <c r="BH421" s="13"/>
    </row>
    <row r="422" ht="14.25" customHeight="1">
      <c r="BG422" s="13"/>
      <c r="BH422" s="13"/>
    </row>
    <row r="423" ht="14.25" customHeight="1">
      <c r="BG423" s="13"/>
      <c r="BH423" s="13"/>
    </row>
    <row r="424" ht="14.25" customHeight="1">
      <c r="BG424" s="13"/>
      <c r="BH424" s="13"/>
    </row>
    <row r="425" ht="14.25" customHeight="1">
      <c r="BG425" s="13"/>
      <c r="BH425" s="13"/>
    </row>
    <row r="426" ht="14.25" customHeight="1">
      <c r="BG426" s="13"/>
      <c r="BH426" s="13"/>
    </row>
    <row r="427" ht="14.25" customHeight="1">
      <c r="BG427" s="13"/>
      <c r="BH427" s="13"/>
    </row>
    <row r="428" ht="14.25" customHeight="1">
      <c r="BG428" s="13"/>
      <c r="BH428" s="13"/>
    </row>
    <row r="429" ht="14.25" customHeight="1">
      <c r="BG429" s="13"/>
      <c r="BH429" s="13"/>
    </row>
    <row r="430" ht="14.25" customHeight="1">
      <c r="BG430" s="13"/>
      <c r="BH430" s="13"/>
    </row>
    <row r="431" ht="14.25" customHeight="1">
      <c r="BG431" s="13"/>
      <c r="BH431" s="13"/>
    </row>
    <row r="432" ht="14.25" customHeight="1">
      <c r="BG432" s="13"/>
      <c r="BH432" s="13"/>
    </row>
    <row r="433" ht="14.25" customHeight="1">
      <c r="BG433" s="13"/>
      <c r="BH433" s="13"/>
    </row>
    <row r="434" ht="14.25" customHeight="1">
      <c r="BG434" s="13"/>
      <c r="BH434" s="13"/>
    </row>
    <row r="435" ht="14.25" customHeight="1">
      <c r="BG435" s="13"/>
      <c r="BH435" s="13"/>
    </row>
    <row r="436" ht="14.25" customHeight="1">
      <c r="BG436" s="13"/>
      <c r="BH436" s="13"/>
    </row>
    <row r="437" ht="14.25" customHeight="1">
      <c r="BG437" s="13"/>
      <c r="BH437" s="13"/>
    </row>
    <row r="438" ht="14.25" customHeight="1">
      <c r="BG438" s="13"/>
      <c r="BH438" s="13"/>
    </row>
    <row r="439" ht="14.25" customHeight="1">
      <c r="BG439" s="13"/>
      <c r="BH439" s="13"/>
    </row>
    <row r="440" ht="14.25" customHeight="1">
      <c r="BG440" s="13"/>
      <c r="BH440" s="13"/>
    </row>
    <row r="441" ht="14.25" customHeight="1">
      <c r="BG441" s="13"/>
      <c r="BH441" s="13"/>
    </row>
    <row r="442" ht="14.25" customHeight="1">
      <c r="BG442" s="13"/>
      <c r="BH442" s="13"/>
    </row>
    <row r="443" ht="14.25" customHeight="1">
      <c r="BG443" s="13"/>
      <c r="BH443" s="13"/>
    </row>
    <row r="444" ht="14.25" customHeight="1">
      <c r="BG444" s="13"/>
      <c r="BH444" s="13"/>
    </row>
    <row r="445" ht="14.25" customHeight="1">
      <c r="BG445" s="13"/>
      <c r="BH445" s="13"/>
    </row>
    <row r="446" ht="14.25" customHeight="1">
      <c r="BG446" s="13"/>
      <c r="BH446" s="13"/>
    </row>
    <row r="447" ht="14.25" customHeight="1">
      <c r="BG447" s="13"/>
      <c r="BH447" s="13"/>
    </row>
    <row r="448" ht="14.25" customHeight="1">
      <c r="BG448" s="13"/>
      <c r="BH448" s="13"/>
    </row>
    <row r="449" ht="14.25" customHeight="1">
      <c r="BG449" s="13"/>
      <c r="BH449" s="13"/>
    </row>
    <row r="450" ht="14.25" customHeight="1">
      <c r="BG450" s="13"/>
      <c r="BH450" s="13"/>
    </row>
    <row r="451" ht="14.25" customHeight="1">
      <c r="BG451" s="13"/>
      <c r="BH451" s="13"/>
    </row>
    <row r="452" ht="14.25" customHeight="1">
      <c r="BG452" s="13"/>
      <c r="BH452" s="13"/>
    </row>
    <row r="453" ht="14.25" customHeight="1">
      <c r="BG453" s="13"/>
      <c r="BH453" s="13"/>
    </row>
    <row r="454" ht="14.25" customHeight="1">
      <c r="BG454" s="13"/>
      <c r="BH454" s="13"/>
    </row>
    <row r="455" ht="14.25" customHeight="1">
      <c r="BG455" s="13"/>
      <c r="BH455" s="13"/>
    </row>
    <row r="456" ht="14.25" customHeight="1">
      <c r="BG456" s="13"/>
      <c r="BH456" s="13"/>
    </row>
    <row r="457" ht="14.25" customHeight="1">
      <c r="BG457" s="13"/>
      <c r="BH457" s="13"/>
    </row>
    <row r="458" ht="14.25" customHeight="1">
      <c r="BG458" s="13"/>
      <c r="BH458" s="13"/>
    </row>
    <row r="459" ht="14.25" customHeight="1">
      <c r="BG459" s="13"/>
      <c r="BH459" s="13"/>
    </row>
    <row r="460" ht="14.25" customHeight="1">
      <c r="BG460" s="13"/>
      <c r="BH460" s="13"/>
    </row>
    <row r="461" ht="14.25" customHeight="1">
      <c r="BG461" s="13"/>
      <c r="BH461" s="13"/>
    </row>
    <row r="462" ht="14.25" customHeight="1">
      <c r="BG462" s="13"/>
      <c r="BH462" s="13"/>
    </row>
    <row r="463" ht="14.25" customHeight="1">
      <c r="BG463" s="13"/>
      <c r="BH463" s="13"/>
    </row>
    <row r="464" ht="14.25" customHeight="1">
      <c r="BG464" s="13"/>
      <c r="BH464" s="13"/>
    </row>
    <row r="465" ht="14.25" customHeight="1">
      <c r="BG465" s="13"/>
      <c r="BH465" s="13"/>
    </row>
    <row r="466" ht="14.25" customHeight="1">
      <c r="BG466" s="13"/>
      <c r="BH466" s="13"/>
    </row>
    <row r="467" ht="14.25" customHeight="1">
      <c r="BG467" s="13"/>
      <c r="BH467" s="13"/>
    </row>
    <row r="468" ht="14.25" customHeight="1">
      <c r="BG468" s="13"/>
      <c r="BH468" s="13"/>
    </row>
    <row r="469" ht="14.25" customHeight="1">
      <c r="BG469" s="13"/>
      <c r="BH469" s="13"/>
    </row>
    <row r="470" ht="14.25" customHeight="1">
      <c r="BG470" s="13"/>
      <c r="BH470" s="13"/>
    </row>
    <row r="471" ht="14.25" customHeight="1">
      <c r="BG471" s="13"/>
      <c r="BH471" s="13"/>
    </row>
    <row r="472" ht="14.25" customHeight="1">
      <c r="BG472" s="13"/>
      <c r="BH472" s="13"/>
    </row>
    <row r="473" ht="14.25" customHeight="1">
      <c r="BG473" s="13"/>
      <c r="BH473" s="13"/>
    </row>
    <row r="474" ht="14.25" customHeight="1">
      <c r="BG474" s="13"/>
      <c r="BH474" s="13"/>
    </row>
    <row r="475" ht="14.25" customHeight="1">
      <c r="BG475" s="13"/>
      <c r="BH475" s="13"/>
    </row>
    <row r="476" ht="14.25" customHeight="1">
      <c r="BG476" s="13"/>
      <c r="BH476" s="13"/>
    </row>
    <row r="477" ht="14.25" customHeight="1">
      <c r="BG477" s="13"/>
      <c r="BH477" s="13"/>
    </row>
    <row r="478" ht="14.25" customHeight="1">
      <c r="BG478" s="13"/>
      <c r="BH478" s="13"/>
    </row>
    <row r="479" ht="14.25" customHeight="1">
      <c r="BG479" s="13"/>
      <c r="BH479" s="13"/>
    </row>
    <row r="480" ht="14.25" customHeight="1">
      <c r="BG480" s="13"/>
      <c r="BH480" s="13"/>
    </row>
    <row r="481" ht="14.25" customHeight="1">
      <c r="BG481" s="13"/>
      <c r="BH481" s="13"/>
    </row>
    <row r="482" ht="14.25" customHeight="1">
      <c r="BG482" s="13"/>
      <c r="BH482" s="13"/>
    </row>
    <row r="483" ht="14.25" customHeight="1">
      <c r="BG483" s="13"/>
      <c r="BH483" s="13"/>
    </row>
    <row r="484" ht="14.25" customHeight="1">
      <c r="BG484" s="13"/>
      <c r="BH484" s="13"/>
    </row>
    <row r="485" ht="14.25" customHeight="1">
      <c r="BG485" s="13"/>
      <c r="BH485" s="13"/>
    </row>
    <row r="486" ht="14.25" customHeight="1">
      <c r="BG486" s="13"/>
      <c r="BH486" s="13"/>
    </row>
    <row r="487" ht="14.25" customHeight="1">
      <c r="BG487" s="13"/>
      <c r="BH487" s="13"/>
    </row>
    <row r="488" ht="14.25" customHeight="1">
      <c r="BG488" s="13"/>
      <c r="BH488" s="13"/>
    </row>
    <row r="489" ht="14.25" customHeight="1">
      <c r="BG489" s="13"/>
      <c r="BH489" s="13"/>
    </row>
    <row r="490" ht="14.25" customHeight="1">
      <c r="BG490" s="13"/>
      <c r="BH490" s="13"/>
    </row>
    <row r="491" ht="14.25" customHeight="1">
      <c r="BG491" s="13"/>
      <c r="BH491" s="13"/>
    </row>
    <row r="492" ht="14.25" customHeight="1">
      <c r="BG492" s="13"/>
      <c r="BH492" s="13"/>
    </row>
    <row r="493" ht="14.25" customHeight="1">
      <c r="BG493" s="13"/>
      <c r="BH493" s="13"/>
    </row>
    <row r="494" ht="14.25" customHeight="1">
      <c r="BG494" s="13"/>
      <c r="BH494" s="13"/>
    </row>
    <row r="495" ht="14.25" customHeight="1">
      <c r="BG495" s="13"/>
      <c r="BH495" s="13"/>
    </row>
    <row r="496" ht="14.25" customHeight="1">
      <c r="BG496" s="13"/>
      <c r="BH496" s="13"/>
    </row>
    <row r="497" ht="14.25" customHeight="1">
      <c r="BG497" s="13"/>
      <c r="BH497" s="13"/>
    </row>
    <row r="498" ht="14.25" customHeight="1">
      <c r="BG498" s="13"/>
      <c r="BH498" s="13"/>
    </row>
    <row r="499" ht="14.25" customHeight="1">
      <c r="BG499" s="13"/>
      <c r="BH499" s="13"/>
    </row>
    <row r="500" ht="14.25" customHeight="1">
      <c r="BG500" s="13"/>
      <c r="BH500" s="13"/>
    </row>
    <row r="501" ht="14.25" customHeight="1">
      <c r="BG501" s="13"/>
      <c r="BH501" s="13"/>
    </row>
    <row r="502" ht="14.25" customHeight="1">
      <c r="BG502" s="13"/>
      <c r="BH502" s="13"/>
    </row>
    <row r="503" ht="14.25" customHeight="1">
      <c r="BG503" s="13"/>
      <c r="BH503" s="13"/>
    </row>
    <row r="504" ht="14.25" customHeight="1">
      <c r="BG504" s="13"/>
      <c r="BH504" s="13"/>
    </row>
    <row r="505" ht="14.25" customHeight="1">
      <c r="BG505" s="13"/>
      <c r="BH505" s="13"/>
    </row>
    <row r="506" ht="14.25" customHeight="1">
      <c r="BG506" s="13"/>
      <c r="BH506" s="13"/>
    </row>
    <row r="507" ht="14.25" customHeight="1">
      <c r="BG507" s="13"/>
      <c r="BH507" s="13"/>
    </row>
    <row r="508" ht="14.25" customHeight="1">
      <c r="BG508" s="13"/>
      <c r="BH508" s="13"/>
    </row>
    <row r="509" ht="14.25" customHeight="1">
      <c r="BG509" s="13"/>
      <c r="BH509" s="13"/>
    </row>
    <row r="510" ht="14.25" customHeight="1">
      <c r="BG510" s="13"/>
      <c r="BH510" s="13"/>
    </row>
    <row r="511" ht="14.25" customHeight="1">
      <c r="BG511" s="13"/>
      <c r="BH511" s="13"/>
    </row>
    <row r="512" ht="14.25" customHeight="1">
      <c r="BG512" s="13"/>
      <c r="BH512" s="13"/>
    </row>
    <row r="513" ht="14.25" customHeight="1">
      <c r="BG513" s="13"/>
      <c r="BH513" s="13"/>
    </row>
    <row r="514" ht="14.25" customHeight="1">
      <c r="BG514" s="13"/>
      <c r="BH514" s="13"/>
    </row>
    <row r="515" ht="14.25" customHeight="1">
      <c r="BG515" s="13"/>
      <c r="BH515" s="13"/>
    </row>
    <row r="516" ht="14.25" customHeight="1">
      <c r="BG516" s="13"/>
      <c r="BH516" s="13"/>
    </row>
    <row r="517" ht="14.25" customHeight="1">
      <c r="BG517" s="13"/>
      <c r="BH517" s="13"/>
    </row>
    <row r="518" ht="14.25" customHeight="1">
      <c r="BG518" s="13"/>
      <c r="BH518" s="13"/>
    </row>
    <row r="519" ht="14.25" customHeight="1">
      <c r="BG519" s="13"/>
      <c r="BH519" s="13"/>
    </row>
    <row r="520" ht="14.25" customHeight="1">
      <c r="BG520" s="13"/>
      <c r="BH520" s="13"/>
    </row>
    <row r="521" ht="14.25" customHeight="1">
      <c r="BG521" s="13"/>
      <c r="BH521" s="13"/>
    </row>
    <row r="522" ht="14.25" customHeight="1">
      <c r="BG522" s="13"/>
      <c r="BH522" s="13"/>
    </row>
    <row r="523" ht="14.25" customHeight="1">
      <c r="BG523" s="13"/>
      <c r="BH523" s="13"/>
    </row>
    <row r="524" ht="14.25" customHeight="1">
      <c r="BG524" s="13"/>
      <c r="BH524" s="13"/>
    </row>
    <row r="525" ht="14.25" customHeight="1">
      <c r="BG525" s="13"/>
      <c r="BH525" s="13"/>
    </row>
    <row r="526" ht="14.25" customHeight="1">
      <c r="BG526" s="13"/>
      <c r="BH526" s="13"/>
    </row>
    <row r="527" ht="14.25" customHeight="1">
      <c r="BG527" s="13"/>
      <c r="BH527" s="13"/>
    </row>
    <row r="528" ht="14.25" customHeight="1">
      <c r="BG528" s="13"/>
      <c r="BH528" s="13"/>
    </row>
    <row r="529" ht="14.25" customHeight="1">
      <c r="BG529" s="13"/>
      <c r="BH529" s="13"/>
    </row>
    <row r="530" ht="14.25" customHeight="1">
      <c r="BG530" s="13"/>
      <c r="BH530" s="13"/>
    </row>
    <row r="531" ht="14.25" customHeight="1">
      <c r="BG531" s="13"/>
      <c r="BH531" s="13"/>
    </row>
    <row r="532" ht="14.25" customHeight="1">
      <c r="BG532" s="13"/>
      <c r="BH532" s="13"/>
    </row>
    <row r="533" ht="14.25" customHeight="1">
      <c r="BG533" s="13"/>
      <c r="BH533" s="13"/>
    </row>
    <row r="534" ht="14.25" customHeight="1">
      <c r="BG534" s="13"/>
      <c r="BH534" s="13"/>
    </row>
    <row r="535" ht="14.25" customHeight="1">
      <c r="BG535" s="13"/>
      <c r="BH535" s="13"/>
    </row>
    <row r="536" ht="14.25" customHeight="1">
      <c r="BG536" s="13"/>
      <c r="BH536" s="13"/>
    </row>
    <row r="537" ht="14.25" customHeight="1">
      <c r="BG537" s="13"/>
      <c r="BH537" s="13"/>
    </row>
    <row r="538" ht="14.25" customHeight="1">
      <c r="BG538" s="13"/>
      <c r="BH538" s="13"/>
    </row>
    <row r="539" ht="14.25" customHeight="1">
      <c r="BG539" s="13"/>
      <c r="BH539" s="13"/>
    </row>
    <row r="540" ht="14.25" customHeight="1">
      <c r="BG540" s="13"/>
      <c r="BH540" s="13"/>
    </row>
    <row r="541" ht="14.25" customHeight="1">
      <c r="BG541" s="13"/>
      <c r="BH541" s="13"/>
    </row>
    <row r="542" ht="14.25" customHeight="1">
      <c r="BG542" s="13"/>
      <c r="BH542" s="13"/>
    </row>
    <row r="543" ht="14.25" customHeight="1">
      <c r="BG543" s="13"/>
      <c r="BH543" s="13"/>
    </row>
    <row r="544" ht="14.25" customHeight="1">
      <c r="BG544" s="13"/>
      <c r="BH544" s="13"/>
    </row>
    <row r="545" ht="14.25" customHeight="1">
      <c r="BG545" s="13"/>
      <c r="BH545" s="13"/>
    </row>
    <row r="546" ht="14.25" customHeight="1">
      <c r="BG546" s="13"/>
      <c r="BH546" s="13"/>
    </row>
    <row r="547" ht="14.25" customHeight="1">
      <c r="BG547" s="13"/>
      <c r="BH547" s="13"/>
    </row>
    <row r="548" ht="14.25" customHeight="1">
      <c r="BG548" s="13"/>
      <c r="BH548" s="13"/>
    </row>
    <row r="549" ht="14.25" customHeight="1">
      <c r="BG549" s="13"/>
      <c r="BH549" s="13"/>
    </row>
    <row r="550" ht="14.25" customHeight="1">
      <c r="BG550" s="13"/>
      <c r="BH550" s="13"/>
    </row>
    <row r="551" ht="14.25" customHeight="1">
      <c r="BG551" s="13"/>
      <c r="BH551" s="13"/>
    </row>
    <row r="552" ht="14.25" customHeight="1">
      <c r="BG552" s="13"/>
      <c r="BH552" s="13"/>
    </row>
    <row r="553" ht="14.25" customHeight="1">
      <c r="BG553" s="13"/>
      <c r="BH553" s="13"/>
    </row>
    <row r="554" ht="14.25" customHeight="1">
      <c r="BG554" s="13"/>
      <c r="BH554" s="13"/>
    </row>
    <row r="555" ht="14.25" customHeight="1">
      <c r="BG555" s="13"/>
      <c r="BH555" s="13"/>
    </row>
    <row r="556" ht="14.25" customHeight="1">
      <c r="BG556" s="13"/>
      <c r="BH556" s="13"/>
    </row>
    <row r="557" ht="14.25" customHeight="1">
      <c r="BG557" s="13"/>
      <c r="BH557" s="13"/>
    </row>
    <row r="558" ht="14.25" customHeight="1">
      <c r="BG558" s="13"/>
      <c r="BH558" s="13"/>
    </row>
    <row r="559" ht="14.25" customHeight="1">
      <c r="BG559" s="13"/>
      <c r="BH559" s="13"/>
    </row>
    <row r="560" ht="14.25" customHeight="1">
      <c r="BG560" s="13"/>
      <c r="BH560" s="13"/>
    </row>
    <row r="561" ht="14.25" customHeight="1">
      <c r="BG561" s="13"/>
      <c r="BH561" s="13"/>
    </row>
    <row r="562" ht="14.25" customHeight="1">
      <c r="BG562" s="13"/>
      <c r="BH562" s="13"/>
    </row>
    <row r="563" ht="14.25" customHeight="1">
      <c r="BG563" s="13"/>
      <c r="BH563" s="13"/>
    </row>
    <row r="564" ht="14.25" customHeight="1">
      <c r="BG564" s="13"/>
      <c r="BH564" s="13"/>
    </row>
    <row r="565" ht="14.25" customHeight="1">
      <c r="BG565" s="13"/>
      <c r="BH565" s="13"/>
    </row>
    <row r="566" ht="14.25" customHeight="1">
      <c r="BG566" s="13"/>
      <c r="BH566" s="13"/>
    </row>
    <row r="567" ht="14.25" customHeight="1">
      <c r="BG567" s="13"/>
      <c r="BH567" s="13"/>
    </row>
    <row r="568" ht="14.25" customHeight="1">
      <c r="BG568" s="13"/>
      <c r="BH568" s="13"/>
    </row>
    <row r="569" ht="14.25" customHeight="1">
      <c r="BG569" s="13"/>
      <c r="BH569" s="13"/>
    </row>
    <row r="570" ht="14.25" customHeight="1">
      <c r="BG570" s="13"/>
      <c r="BH570" s="13"/>
    </row>
    <row r="571" ht="14.25" customHeight="1">
      <c r="BG571" s="13"/>
      <c r="BH571" s="13"/>
    </row>
    <row r="572" ht="14.25" customHeight="1">
      <c r="BG572" s="13"/>
      <c r="BH572" s="13"/>
    </row>
    <row r="573" ht="14.25" customHeight="1">
      <c r="BG573" s="13"/>
      <c r="BH573" s="13"/>
    </row>
    <row r="574" ht="14.25" customHeight="1">
      <c r="BG574" s="13"/>
      <c r="BH574" s="13"/>
    </row>
    <row r="575" ht="14.25" customHeight="1">
      <c r="BG575" s="13"/>
      <c r="BH575" s="13"/>
    </row>
    <row r="576" ht="14.25" customHeight="1">
      <c r="BG576" s="13"/>
      <c r="BH576" s="13"/>
    </row>
    <row r="577" ht="14.25" customHeight="1">
      <c r="BG577" s="13"/>
      <c r="BH577" s="13"/>
    </row>
    <row r="578" ht="14.25" customHeight="1">
      <c r="BG578" s="13"/>
      <c r="BH578" s="13"/>
    </row>
    <row r="579" ht="14.25" customHeight="1">
      <c r="BG579" s="13"/>
      <c r="BH579" s="13"/>
    </row>
    <row r="580" ht="14.25" customHeight="1">
      <c r="BG580" s="13"/>
      <c r="BH580" s="13"/>
    </row>
    <row r="581" ht="14.25" customHeight="1">
      <c r="BG581" s="13"/>
      <c r="BH581" s="13"/>
    </row>
    <row r="582" ht="14.25" customHeight="1">
      <c r="BG582" s="13"/>
      <c r="BH582" s="13"/>
    </row>
    <row r="583" ht="14.25" customHeight="1">
      <c r="BG583" s="13"/>
      <c r="BH583" s="13"/>
    </row>
    <row r="584" ht="14.25" customHeight="1">
      <c r="BG584" s="13"/>
      <c r="BH584" s="13"/>
    </row>
    <row r="585" ht="14.25" customHeight="1">
      <c r="BG585" s="13"/>
      <c r="BH585" s="13"/>
    </row>
    <row r="586" ht="14.25" customHeight="1">
      <c r="BG586" s="13"/>
      <c r="BH586" s="13"/>
    </row>
    <row r="587" ht="14.25" customHeight="1">
      <c r="BG587" s="13"/>
      <c r="BH587" s="13"/>
    </row>
    <row r="588" ht="14.25" customHeight="1">
      <c r="BG588" s="13"/>
      <c r="BH588" s="13"/>
    </row>
    <row r="589" ht="14.25" customHeight="1">
      <c r="BG589" s="13"/>
      <c r="BH589" s="13"/>
    </row>
    <row r="590" ht="14.25" customHeight="1">
      <c r="BG590" s="13"/>
      <c r="BH590" s="13"/>
    </row>
    <row r="591" ht="14.25" customHeight="1">
      <c r="BG591" s="13"/>
      <c r="BH591" s="13"/>
    </row>
    <row r="592" ht="14.25" customHeight="1">
      <c r="BG592" s="13"/>
      <c r="BH592" s="13"/>
    </row>
    <row r="593" ht="14.25" customHeight="1">
      <c r="BG593" s="13"/>
      <c r="BH593" s="13"/>
    </row>
    <row r="594" ht="14.25" customHeight="1">
      <c r="BG594" s="13"/>
      <c r="BH594" s="13"/>
    </row>
    <row r="595" ht="14.25" customHeight="1">
      <c r="BG595" s="13"/>
      <c r="BH595" s="13"/>
    </row>
    <row r="596" ht="14.25" customHeight="1">
      <c r="BG596" s="13"/>
      <c r="BH596" s="13"/>
    </row>
    <row r="597" ht="14.25" customHeight="1">
      <c r="BG597" s="13"/>
      <c r="BH597" s="13"/>
    </row>
    <row r="598" ht="14.25" customHeight="1">
      <c r="BG598" s="13"/>
      <c r="BH598" s="13"/>
    </row>
    <row r="599" ht="14.25" customHeight="1">
      <c r="BG599" s="13"/>
      <c r="BH599" s="13"/>
    </row>
    <row r="600" ht="14.25" customHeight="1">
      <c r="BG600" s="13"/>
      <c r="BH600" s="13"/>
    </row>
    <row r="601" ht="14.25" customHeight="1">
      <c r="BG601" s="13"/>
      <c r="BH601" s="13"/>
    </row>
    <row r="602" ht="14.25" customHeight="1">
      <c r="BG602" s="13"/>
      <c r="BH602" s="13"/>
    </row>
    <row r="603" ht="14.25" customHeight="1">
      <c r="BG603" s="13"/>
      <c r="BH603" s="13"/>
    </row>
    <row r="604" ht="14.25" customHeight="1">
      <c r="BG604" s="13"/>
      <c r="BH604" s="13"/>
    </row>
    <row r="605" ht="14.25" customHeight="1">
      <c r="BG605" s="13"/>
      <c r="BH605" s="13"/>
    </row>
    <row r="606" ht="14.25" customHeight="1">
      <c r="BG606" s="13"/>
      <c r="BH606" s="13"/>
    </row>
    <row r="607" ht="14.25" customHeight="1">
      <c r="BG607" s="13"/>
      <c r="BH607" s="13"/>
    </row>
    <row r="608" ht="14.25" customHeight="1">
      <c r="BG608" s="13"/>
      <c r="BH608" s="13"/>
    </row>
    <row r="609" ht="14.25" customHeight="1">
      <c r="BG609" s="13"/>
      <c r="BH609" s="13"/>
    </row>
    <row r="610" ht="14.25" customHeight="1">
      <c r="BG610" s="13"/>
      <c r="BH610" s="13"/>
    </row>
    <row r="611" ht="14.25" customHeight="1">
      <c r="BG611" s="13"/>
      <c r="BH611" s="13"/>
    </row>
    <row r="612" ht="14.25" customHeight="1">
      <c r="BG612" s="13"/>
      <c r="BH612" s="13"/>
    </row>
    <row r="613" ht="14.25" customHeight="1">
      <c r="BG613" s="13"/>
      <c r="BH613" s="13"/>
    </row>
    <row r="614" ht="14.25" customHeight="1">
      <c r="BG614" s="13"/>
      <c r="BH614" s="13"/>
    </row>
    <row r="615" ht="14.25" customHeight="1">
      <c r="BG615" s="13"/>
      <c r="BH615" s="13"/>
    </row>
    <row r="616" ht="14.25" customHeight="1">
      <c r="BG616" s="13"/>
      <c r="BH616" s="13"/>
    </row>
    <row r="617" ht="14.25" customHeight="1">
      <c r="BG617" s="13"/>
      <c r="BH617" s="13"/>
    </row>
    <row r="618" ht="14.25" customHeight="1">
      <c r="BG618" s="13"/>
      <c r="BH618" s="13"/>
    </row>
    <row r="619" ht="14.25" customHeight="1">
      <c r="BG619" s="13"/>
      <c r="BH619" s="13"/>
    </row>
    <row r="620" ht="14.25" customHeight="1">
      <c r="BG620" s="13"/>
      <c r="BH620" s="13"/>
    </row>
    <row r="621" ht="14.25" customHeight="1">
      <c r="BG621" s="13"/>
      <c r="BH621" s="13"/>
    </row>
    <row r="622" ht="14.25" customHeight="1">
      <c r="BG622" s="13"/>
      <c r="BH622" s="13"/>
    </row>
    <row r="623" ht="14.25" customHeight="1">
      <c r="BG623" s="13"/>
      <c r="BH623" s="13"/>
    </row>
    <row r="624" ht="14.25" customHeight="1">
      <c r="BG624" s="13"/>
      <c r="BH624" s="13"/>
    </row>
    <row r="625" ht="14.25" customHeight="1">
      <c r="BG625" s="13"/>
      <c r="BH625" s="13"/>
    </row>
    <row r="626" ht="14.25" customHeight="1">
      <c r="BG626" s="13"/>
      <c r="BH626" s="13"/>
    </row>
    <row r="627" ht="14.25" customHeight="1">
      <c r="BG627" s="13"/>
      <c r="BH627" s="13"/>
    </row>
    <row r="628" ht="14.25" customHeight="1">
      <c r="BG628" s="13"/>
      <c r="BH628" s="13"/>
    </row>
    <row r="629" ht="14.25" customHeight="1">
      <c r="BG629" s="13"/>
      <c r="BH629" s="13"/>
    </row>
    <row r="630" ht="14.25" customHeight="1">
      <c r="BG630" s="13"/>
      <c r="BH630" s="13"/>
    </row>
    <row r="631" ht="14.25" customHeight="1">
      <c r="BG631" s="13"/>
      <c r="BH631" s="13"/>
    </row>
    <row r="632" ht="14.25" customHeight="1">
      <c r="BG632" s="13"/>
      <c r="BH632" s="13"/>
    </row>
    <row r="633" ht="14.25" customHeight="1">
      <c r="BG633" s="13"/>
      <c r="BH633" s="13"/>
    </row>
    <row r="634" ht="14.25" customHeight="1">
      <c r="BG634" s="13"/>
      <c r="BH634" s="13"/>
    </row>
    <row r="635" ht="14.25" customHeight="1">
      <c r="BG635" s="13"/>
      <c r="BH635" s="13"/>
    </row>
    <row r="636" ht="14.25" customHeight="1">
      <c r="BG636" s="13"/>
      <c r="BH636" s="13"/>
    </row>
    <row r="637" ht="14.25" customHeight="1">
      <c r="BG637" s="13"/>
      <c r="BH637" s="13"/>
    </row>
    <row r="638" ht="14.25" customHeight="1">
      <c r="BG638" s="13"/>
      <c r="BH638" s="13"/>
    </row>
    <row r="639" ht="14.25" customHeight="1">
      <c r="BG639" s="13"/>
      <c r="BH639" s="13"/>
    </row>
    <row r="640" ht="14.25" customHeight="1">
      <c r="BG640" s="13"/>
      <c r="BH640" s="13"/>
    </row>
    <row r="641" ht="14.25" customHeight="1">
      <c r="BG641" s="13"/>
      <c r="BH641" s="13"/>
    </row>
    <row r="642" ht="14.25" customHeight="1">
      <c r="BG642" s="13"/>
      <c r="BH642" s="13"/>
    </row>
    <row r="643" ht="14.25" customHeight="1">
      <c r="BG643" s="13"/>
      <c r="BH643" s="13"/>
    </row>
    <row r="644" ht="14.25" customHeight="1">
      <c r="BG644" s="13"/>
      <c r="BH644" s="13"/>
    </row>
    <row r="645" ht="14.25" customHeight="1">
      <c r="BG645" s="13"/>
      <c r="BH645" s="13"/>
    </row>
    <row r="646" ht="14.25" customHeight="1">
      <c r="BG646" s="13"/>
      <c r="BH646" s="13"/>
    </row>
    <row r="647" ht="14.25" customHeight="1">
      <c r="BG647" s="13"/>
      <c r="BH647" s="13"/>
    </row>
    <row r="648" ht="14.25" customHeight="1">
      <c r="BG648" s="13"/>
      <c r="BH648" s="13"/>
    </row>
    <row r="649" ht="14.25" customHeight="1">
      <c r="BG649" s="13"/>
      <c r="BH649" s="13"/>
    </row>
    <row r="650" ht="14.25" customHeight="1">
      <c r="BG650" s="13"/>
      <c r="BH650" s="13"/>
    </row>
    <row r="651" ht="14.25" customHeight="1">
      <c r="BG651" s="13"/>
      <c r="BH651" s="13"/>
    </row>
    <row r="652" ht="14.25" customHeight="1">
      <c r="BG652" s="13"/>
      <c r="BH652" s="13"/>
    </row>
    <row r="653" ht="14.25" customHeight="1">
      <c r="BG653" s="13"/>
      <c r="BH653" s="13"/>
    </row>
    <row r="654" ht="14.25" customHeight="1">
      <c r="BG654" s="13"/>
      <c r="BH654" s="13"/>
    </row>
    <row r="655" ht="14.25" customHeight="1">
      <c r="BG655" s="13"/>
      <c r="BH655" s="13"/>
    </row>
    <row r="656" ht="14.25" customHeight="1">
      <c r="BG656" s="13"/>
      <c r="BH656" s="13"/>
    </row>
    <row r="657" ht="14.25" customHeight="1">
      <c r="BG657" s="13"/>
      <c r="BH657" s="13"/>
    </row>
    <row r="658" ht="14.25" customHeight="1">
      <c r="BG658" s="13"/>
      <c r="BH658" s="13"/>
    </row>
    <row r="659" ht="14.25" customHeight="1">
      <c r="BG659" s="13"/>
      <c r="BH659" s="13"/>
    </row>
    <row r="660" ht="14.25" customHeight="1">
      <c r="BG660" s="13"/>
      <c r="BH660" s="13"/>
    </row>
    <row r="661" ht="14.25" customHeight="1">
      <c r="BG661" s="13"/>
      <c r="BH661" s="13"/>
    </row>
    <row r="662" ht="14.25" customHeight="1">
      <c r="BG662" s="13"/>
      <c r="BH662" s="13"/>
    </row>
    <row r="663" ht="14.25" customHeight="1">
      <c r="BG663" s="13"/>
      <c r="BH663" s="13"/>
    </row>
    <row r="664" ht="14.25" customHeight="1">
      <c r="BG664" s="13"/>
      <c r="BH664" s="13"/>
    </row>
    <row r="665" ht="14.25" customHeight="1">
      <c r="BG665" s="13"/>
      <c r="BH665" s="13"/>
    </row>
    <row r="666" ht="14.25" customHeight="1">
      <c r="BG666" s="13"/>
      <c r="BH666" s="13"/>
    </row>
    <row r="667" ht="14.25" customHeight="1">
      <c r="BG667" s="13"/>
      <c r="BH667" s="13"/>
    </row>
    <row r="668" ht="14.25" customHeight="1">
      <c r="BG668" s="13"/>
      <c r="BH668" s="13"/>
    </row>
    <row r="669" ht="14.25" customHeight="1">
      <c r="BG669" s="13"/>
      <c r="BH669" s="13"/>
    </row>
    <row r="670" ht="14.25" customHeight="1">
      <c r="BG670" s="13"/>
      <c r="BH670" s="13"/>
    </row>
    <row r="671" ht="14.25" customHeight="1">
      <c r="BG671" s="13"/>
      <c r="BH671" s="13"/>
    </row>
    <row r="672" ht="14.25" customHeight="1">
      <c r="BG672" s="13"/>
      <c r="BH672" s="13"/>
    </row>
    <row r="673" ht="14.25" customHeight="1">
      <c r="BG673" s="13"/>
      <c r="BH673" s="13"/>
    </row>
    <row r="674" ht="14.25" customHeight="1">
      <c r="BG674" s="13"/>
      <c r="BH674" s="13"/>
    </row>
    <row r="675" ht="14.25" customHeight="1">
      <c r="BG675" s="13"/>
      <c r="BH675" s="13"/>
    </row>
    <row r="676" ht="14.25" customHeight="1">
      <c r="BG676" s="13"/>
      <c r="BH676" s="13"/>
    </row>
    <row r="677" ht="14.25" customHeight="1">
      <c r="BG677" s="13"/>
      <c r="BH677" s="13"/>
    </row>
    <row r="678" ht="14.25" customHeight="1">
      <c r="BG678" s="13"/>
      <c r="BH678" s="13"/>
    </row>
    <row r="679" ht="14.25" customHeight="1">
      <c r="BG679" s="13"/>
      <c r="BH679" s="13"/>
    </row>
    <row r="680" ht="14.25" customHeight="1">
      <c r="BG680" s="13"/>
      <c r="BH680" s="13"/>
    </row>
    <row r="681" ht="14.25" customHeight="1">
      <c r="BG681" s="13"/>
      <c r="BH681" s="13"/>
    </row>
    <row r="682" ht="14.25" customHeight="1">
      <c r="BG682" s="13"/>
      <c r="BH682" s="13"/>
    </row>
    <row r="683" ht="14.25" customHeight="1">
      <c r="BG683" s="13"/>
      <c r="BH683" s="13"/>
    </row>
    <row r="684" ht="14.25" customHeight="1">
      <c r="BG684" s="13"/>
      <c r="BH684" s="13"/>
    </row>
    <row r="685" ht="14.25" customHeight="1">
      <c r="BG685" s="13"/>
      <c r="BH685" s="13"/>
    </row>
    <row r="686" ht="14.25" customHeight="1">
      <c r="BG686" s="13"/>
      <c r="BH686" s="13"/>
    </row>
    <row r="687" ht="14.25" customHeight="1">
      <c r="BG687" s="13"/>
      <c r="BH687" s="13"/>
    </row>
    <row r="688" ht="14.25" customHeight="1">
      <c r="BG688" s="13"/>
      <c r="BH688" s="13"/>
    </row>
    <row r="689" ht="14.25" customHeight="1">
      <c r="BG689" s="13"/>
      <c r="BH689" s="13"/>
    </row>
    <row r="690" ht="14.25" customHeight="1">
      <c r="BG690" s="13"/>
      <c r="BH690" s="13"/>
    </row>
    <row r="691" ht="14.25" customHeight="1">
      <c r="BG691" s="13"/>
      <c r="BH691" s="13"/>
    </row>
    <row r="692" ht="14.25" customHeight="1">
      <c r="BG692" s="13"/>
      <c r="BH692" s="13"/>
    </row>
    <row r="693" ht="14.25" customHeight="1">
      <c r="BG693" s="13"/>
      <c r="BH693" s="13"/>
    </row>
    <row r="694" ht="14.25" customHeight="1">
      <c r="BG694" s="13"/>
      <c r="BH694" s="13"/>
    </row>
    <row r="695" ht="14.25" customHeight="1">
      <c r="BG695" s="13"/>
      <c r="BH695" s="13"/>
    </row>
    <row r="696" ht="14.25" customHeight="1">
      <c r="BG696" s="13"/>
      <c r="BH696" s="13"/>
    </row>
    <row r="697" ht="14.25" customHeight="1">
      <c r="BG697" s="13"/>
      <c r="BH697" s="13"/>
    </row>
    <row r="698" ht="14.25" customHeight="1">
      <c r="BG698" s="13"/>
      <c r="BH698" s="13"/>
    </row>
    <row r="699" ht="14.25" customHeight="1">
      <c r="BG699" s="13"/>
      <c r="BH699" s="13"/>
    </row>
    <row r="700" ht="14.25" customHeight="1">
      <c r="BG700" s="13"/>
      <c r="BH700" s="13"/>
    </row>
    <row r="701" ht="14.25" customHeight="1">
      <c r="BG701" s="13"/>
      <c r="BH701" s="13"/>
    </row>
    <row r="702" ht="14.25" customHeight="1">
      <c r="BG702" s="13"/>
      <c r="BH702" s="13"/>
    </row>
    <row r="703" ht="14.25" customHeight="1">
      <c r="BG703" s="13"/>
      <c r="BH703" s="13"/>
    </row>
    <row r="704" ht="14.25" customHeight="1">
      <c r="BG704" s="13"/>
      <c r="BH704" s="13"/>
    </row>
    <row r="705" ht="14.25" customHeight="1">
      <c r="BG705" s="13"/>
      <c r="BH705" s="13"/>
    </row>
    <row r="706" ht="14.25" customHeight="1">
      <c r="BG706" s="13"/>
      <c r="BH706" s="13"/>
    </row>
    <row r="707" ht="14.25" customHeight="1">
      <c r="BG707" s="13"/>
      <c r="BH707" s="13"/>
    </row>
    <row r="708" ht="14.25" customHeight="1">
      <c r="BG708" s="13"/>
      <c r="BH708" s="13"/>
    </row>
    <row r="709" ht="14.25" customHeight="1">
      <c r="BG709" s="13"/>
      <c r="BH709" s="13"/>
    </row>
    <row r="710" ht="14.25" customHeight="1">
      <c r="BG710" s="13"/>
      <c r="BH710" s="13"/>
    </row>
    <row r="711" ht="14.25" customHeight="1">
      <c r="BG711" s="13"/>
      <c r="BH711" s="13"/>
    </row>
    <row r="712" ht="14.25" customHeight="1">
      <c r="BG712" s="13"/>
      <c r="BH712" s="13"/>
    </row>
    <row r="713" ht="14.25" customHeight="1">
      <c r="BG713" s="13"/>
      <c r="BH713" s="13"/>
    </row>
    <row r="714" ht="14.25" customHeight="1">
      <c r="BG714" s="13"/>
      <c r="BH714" s="13"/>
    </row>
    <row r="715" ht="14.25" customHeight="1">
      <c r="BG715" s="13"/>
      <c r="BH715" s="13"/>
    </row>
    <row r="716" ht="14.25" customHeight="1">
      <c r="BG716" s="13"/>
      <c r="BH716" s="13"/>
    </row>
    <row r="717" ht="14.25" customHeight="1">
      <c r="BG717" s="13"/>
      <c r="BH717" s="13"/>
    </row>
    <row r="718" ht="14.25" customHeight="1">
      <c r="BG718" s="13"/>
      <c r="BH718" s="13"/>
    </row>
    <row r="719" ht="14.25" customHeight="1">
      <c r="BG719" s="13"/>
      <c r="BH719" s="13"/>
    </row>
    <row r="720" ht="14.25" customHeight="1">
      <c r="BG720" s="13"/>
      <c r="BH720" s="13"/>
    </row>
    <row r="721" ht="14.25" customHeight="1">
      <c r="BG721" s="13"/>
      <c r="BH721" s="13"/>
    </row>
    <row r="722" ht="14.25" customHeight="1">
      <c r="BG722" s="13"/>
      <c r="BH722" s="13"/>
    </row>
    <row r="723" ht="14.25" customHeight="1">
      <c r="BG723" s="13"/>
      <c r="BH723" s="13"/>
    </row>
    <row r="724" ht="14.25" customHeight="1">
      <c r="BG724" s="13"/>
      <c r="BH724" s="13"/>
    </row>
    <row r="725" ht="14.25" customHeight="1">
      <c r="BG725" s="13"/>
      <c r="BH725" s="13"/>
    </row>
    <row r="726" ht="14.25" customHeight="1">
      <c r="BG726" s="13"/>
      <c r="BH726" s="13"/>
    </row>
    <row r="727" ht="14.25" customHeight="1">
      <c r="BG727" s="13"/>
      <c r="BH727" s="13"/>
    </row>
    <row r="728" ht="14.25" customHeight="1">
      <c r="BG728" s="13"/>
      <c r="BH728" s="13"/>
    </row>
    <row r="729" ht="14.25" customHeight="1">
      <c r="BG729" s="13"/>
      <c r="BH729" s="13"/>
    </row>
    <row r="730" ht="14.25" customHeight="1">
      <c r="BG730" s="13"/>
      <c r="BH730" s="13"/>
    </row>
    <row r="731" ht="14.25" customHeight="1">
      <c r="BG731" s="13"/>
      <c r="BH731" s="13"/>
    </row>
    <row r="732" ht="14.25" customHeight="1">
      <c r="BG732" s="13"/>
      <c r="BH732" s="13"/>
    </row>
    <row r="733" ht="14.25" customHeight="1">
      <c r="BG733" s="13"/>
      <c r="BH733" s="13"/>
    </row>
    <row r="734" ht="14.25" customHeight="1">
      <c r="BG734" s="13"/>
      <c r="BH734" s="13"/>
    </row>
    <row r="735" ht="14.25" customHeight="1">
      <c r="BG735" s="13"/>
      <c r="BH735" s="13"/>
    </row>
    <row r="736" ht="14.25" customHeight="1">
      <c r="BG736" s="13"/>
      <c r="BH736" s="13"/>
    </row>
    <row r="737" ht="14.25" customHeight="1">
      <c r="BG737" s="13"/>
      <c r="BH737" s="13"/>
    </row>
    <row r="738" ht="14.25" customHeight="1">
      <c r="BG738" s="13"/>
      <c r="BH738" s="13"/>
    </row>
    <row r="739" ht="14.25" customHeight="1">
      <c r="BG739" s="13"/>
      <c r="BH739" s="13"/>
    </row>
    <row r="740" ht="14.25" customHeight="1">
      <c r="BG740" s="13"/>
      <c r="BH740" s="13"/>
    </row>
    <row r="741" ht="14.25" customHeight="1">
      <c r="BG741" s="13"/>
      <c r="BH741" s="13"/>
    </row>
    <row r="742" ht="14.25" customHeight="1">
      <c r="BG742" s="13"/>
      <c r="BH742" s="13"/>
    </row>
    <row r="743" ht="14.25" customHeight="1">
      <c r="BG743" s="13"/>
      <c r="BH743" s="13"/>
    </row>
    <row r="744" ht="14.25" customHeight="1">
      <c r="BG744" s="13"/>
      <c r="BH744" s="13"/>
    </row>
    <row r="745" ht="14.25" customHeight="1">
      <c r="BG745" s="13"/>
      <c r="BH745" s="13"/>
    </row>
    <row r="746" ht="14.25" customHeight="1">
      <c r="BG746" s="13"/>
      <c r="BH746" s="13"/>
    </row>
    <row r="747" ht="14.25" customHeight="1">
      <c r="BG747" s="13"/>
      <c r="BH747" s="13"/>
    </row>
    <row r="748" ht="14.25" customHeight="1">
      <c r="BG748" s="13"/>
      <c r="BH748" s="13"/>
    </row>
    <row r="749" ht="14.25" customHeight="1">
      <c r="BG749" s="13"/>
      <c r="BH749" s="13"/>
    </row>
    <row r="750" ht="14.25" customHeight="1">
      <c r="BG750" s="13"/>
      <c r="BH750" s="13"/>
    </row>
    <row r="751" ht="14.25" customHeight="1">
      <c r="BG751" s="13"/>
      <c r="BH751" s="13"/>
    </row>
    <row r="752" ht="14.25" customHeight="1">
      <c r="BG752" s="13"/>
      <c r="BH752" s="13"/>
    </row>
    <row r="753" ht="14.25" customHeight="1">
      <c r="BG753" s="13"/>
      <c r="BH753" s="13"/>
    </row>
    <row r="754" ht="14.25" customHeight="1">
      <c r="BG754" s="13"/>
      <c r="BH754" s="13"/>
    </row>
    <row r="755" ht="14.25" customHeight="1">
      <c r="BG755" s="13"/>
      <c r="BH755" s="13"/>
    </row>
    <row r="756" ht="14.25" customHeight="1">
      <c r="BG756" s="13"/>
      <c r="BH756" s="13"/>
    </row>
    <row r="757" ht="14.25" customHeight="1">
      <c r="BG757" s="13"/>
      <c r="BH757" s="13"/>
    </row>
    <row r="758" ht="14.25" customHeight="1">
      <c r="BG758" s="13"/>
      <c r="BH758" s="13"/>
    </row>
    <row r="759" ht="14.25" customHeight="1">
      <c r="BG759" s="13"/>
      <c r="BH759" s="13"/>
    </row>
    <row r="760" ht="14.25" customHeight="1">
      <c r="BG760" s="13"/>
      <c r="BH760" s="13"/>
    </row>
    <row r="761" ht="14.25" customHeight="1">
      <c r="BG761" s="13"/>
      <c r="BH761" s="13"/>
    </row>
    <row r="762" ht="14.25" customHeight="1">
      <c r="BG762" s="13"/>
      <c r="BH762" s="13"/>
    </row>
    <row r="763" ht="14.25" customHeight="1">
      <c r="BG763" s="13"/>
      <c r="BH763" s="13"/>
    </row>
    <row r="764" ht="14.25" customHeight="1">
      <c r="BG764" s="13"/>
      <c r="BH764" s="13"/>
    </row>
    <row r="765" ht="14.25" customHeight="1">
      <c r="BG765" s="13"/>
      <c r="BH765" s="13"/>
    </row>
    <row r="766" ht="14.25" customHeight="1">
      <c r="BG766" s="13"/>
      <c r="BH766" s="13"/>
    </row>
    <row r="767" ht="14.25" customHeight="1">
      <c r="BG767" s="13"/>
      <c r="BH767" s="13"/>
    </row>
    <row r="768" ht="14.25" customHeight="1">
      <c r="BG768" s="13"/>
      <c r="BH768" s="13"/>
    </row>
    <row r="769" ht="14.25" customHeight="1">
      <c r="BG769" s="13"/>
      <c r="BH769" s="13"/>
    </row>
    <row r="770" ht="14.25" customHeight="1">
      <c r="BG770" s="13"/>
      <c r="BH770" s="13"/>
    </row>
    <row r="771" ht="14.25" customHeight="1">
      <c r="BG771" s="13"/>
      <c r="BH771" s="13"/>
    </row>
    <row r="772" ht="14.25" customHeight="1">
      <c r="BG772" s="13"/>
      <c r="BH772" s="13"/>
    </row>
    <row r="773" ht="14.25" customHeight="1">
      <c r="BG773" s="13"/>
      <c r="BH773" s="13"/>
    </row>
    <row r="774" ht="14.25" customHeight="1">
      <c r="BG774" s="13"/>
      <c r="BH774" s="13"/>
    </row>
    <row r="775" ht="14.25" customHeight="1">
      <c r="BG775" s="13"/>
      <c r="BH775" s="13"/>
    </row>
    <row r="776" ht="14.25" customHeight="1">
      <c r="BG776" s="13"/>
      <c r="BH776" s="13"/>
    </row>
    <row r="777" ht="14.25" customHeight="1">
      <c r="BG777" s="13"/>
      <c r="BH777" s="13"/>
    </row>
    <row r="778" ht="14.25" customHeight="1">
      <c r="BG778" s="13"/>
      <c r="BH778" s="13"/>
    </row>
    <row r="779" ht="14.25" customHeight="1">
      <c r="BG779" s="13"/>
      <c r="BH779" s="13"/>
    </row>
    <row r="780" ht="14.25" customHeight="1">
      <c r="BG780" s="13"/>
      <c r="BH780" s="13"/>
    </row>
    <row r="781" ht="14.25" customHeight="1">
      <c r="BG781" s="13"/>
      <c r="BH781" s="13"/>
    </row>
    <row r="782" ht="14.25" customHeight="1">
      <c r="BG782" s="13"/>
      <c r="BH782" s="13"/>
    </row>
    <row r="783" ht="14.25" customHeight="1">
      <c r="BG783" s="13"/>
      <c r="BH783" s="13"/>
    </row>
    <row r="784" ht="14.25" customHeight="1">
      <c r="BG784" s="13"/>
      <c r="BH784" s="13"/>
    </row>
    <row r="785" ht="14.25" customHeight="1">
      <c r="BG785" s="13"/>
      <c r="BH785" s="13"/>
    </row>
    <row r="786" ht="14.25" customHeight="1">
      <c r="BG786" s="13"/>
      <c r="BH786" s="13"/>
    </row>
    <row r="787" ht="14.25" customHeight="1">
      <c r="BG787" s="13"/>
      <c r="BH787" s="13"/>
    </row>
    <row r="788" ht="14.25" customHeight="1">
      <c r="BG788" s="13"/>
      <c r="BH788" s="13"/>
    </row>
    <row r="789" ht="14.25" customHeight="1">
      <c r="BG789" s="13"/>
      <c r="BH789" s="13"/>
    </row>
    <row r="790" ht="14.25" customHeight="1">
      <c r="BG790" s="13"/>
      <c r="BH790" s="13"/>
    </row>
    <row r="791" ht="14.25" customHeight="1">
      <c r="BG791" s="13"/>
      <c r="BH791" s="13"/>
    </row>
    <row r="792" ht="14.25" customHeight="1">
      <c r="BG792" s="13"/>
      <c r="BH792" s="13"/>
    </row>
    <row r="793" ht="14.25" customHeight="1">
      <c r="BG793" s="13"/>
      <c r="BH793" s="13"/>
    </row>
    <row r="794" ht="14.25" customHeight="1">
      <c r="BG794" s="13"/>
      <c r="BH794" s="13"/>
    </row>
    <row r="795" ht="14.25" customHeight="1">
      <c r="BG795" s="13"/>
      <c r="BH795" s="13"/>
    </row>
    <row r="796" ht="14.25" customHeight="1">
      <c r="BG796" s="13"/>
      <c r="BH796" s="13"/>
    </row>
    <row r="797" ht="14.25" customHeight="1">
      <c r="BG797" s="13"/>
      <c r="BH797" s="13"/>
    </row>
    <row r="798" ht="14.25" customHeight="1">
      <c r="BG798" s="13"/>
      <c r="BH798" s="13"/>
    </row>
    <row r="799" ht="14.25" customHeight="1">
      <c r="BG799" s="13"/>
      <c r="BH799" s="13"/>
    </row>
    <row r="800" ht="14.25" customHeight="1">
      <c r="BG800" s="13"/>
      <c r="BH800" s="13"/>
    </row>
    <row r="801" ht="14.25" customHeight="1">
      <c r="BG801" s="13"/>
      <c r="BH801" s="13"/>
    </row>
    <row r="802" ht="14.25" customHeight="1">
      <c r="BG802" s="13"/>
      <c r="BH802" s="13"/>
    </row>
    <row r="803" ht="14.25" customHeight="1">
      <c r="BG803" s="13"/>
      <c r="BH803" s="13"/>
    </row>
    <row r="804" ht="14.25" customHeight="1">
      <c r="BG804" s="13"/>
      <c r="BH804" s="13"/>
    </row>
    <row r="805" ht="14.25" customHeight="1">
      <c r="BG805" s="13"/>
      <c r="BH805" s="13"/>
    </row>
    <row r="806" ht="14.25" customHeight="1">
      <c r="BG806" s="13"/>
      <c r="BH806" s="13"/>
    </row>
    <row r="807" ht="14.25" customHeight="1">
      <c r="BG807" s="13"/>
      <c r="BH807" s="13"/>
    </row>
    <row r="808" ht="14.25" customHeight="1">
      <c r="BG808" s="13"/>
      <c r="BH808" s="13"/>
    </row>
    <row r="809" ht="14.25" customHeight="1">
      <c r="BG809" s="13"/>
      <c r="BH809" s="13"/>
    </row>
    <row r="810" ht="14.25" customHeight="1">
      <c r="BG810" s="13"/>
      <c r="BH810" s="13"/>
    </row>
    <row r="811" ht="14.25" customHeight="1">
      <c r="BG811" s="13"/>
      <c r="BH811" s="13"/>
    </row>
    <row r="812" ht="14.25" customHeight="1">
      <c r="BG812" s="13"/>
      <c r="BH812" s="13"/>
    </row>
    <row r="813" ht="14.25" customHeight="1">
      <c r="BG813" s="13"/>
      <c r="BH813" s="13"/>
    </row>
    <row r="814" ht="14.25" customHeight="1">
      <c r="BG814" s="13"/>
      <c r="BH814" s="13"/>
    </row>
    <row r="815" ht="14.25" customHeight="1">
      <c r="BG815" s="13"/>
      <c r="BH815" s="13"/>
    </row>
    <row r="816" ht="14.25" customHeight="1">
      <c r="BG816" s="13"/>
      <c r="BH816" s="13"/>
    </row>
    <row r="817" ht="14.25" customHeight="1">
      <c r="BG817" s="13"/>
      <c r="BH817" s="13"/>
    </row>
    <row r="818" ht="14.25" customHeight="1">
      <c r="BG818" s="13"/>
      <c r="BH818" s="13"/>
    </row>
    <row r="819" ht="14.25" customHeight="1">
      <c r="BG819" s="13"/>
      <c r="BH819" s="13"/>
    </row>
    <row r="820" ht="14.25" customHeight="1">
      <c r="BG820" s="13"/>
      <c r="BH820" s="13"/>
    </row>
    <row r="821" ht="14.25" customHeight="1">
      <c r="BG821" s="13"/>
      <c r="BH821" s="13"/>
    </row>
    <row r="822" ht="14.25" customHeight="1">
      <c r="BG822" s="13"/>
      <c r="BH822" s="13"/>
    </row>
    <row r="823" ht="14.25" customHeight="1">
      <c r="BG823" s="13"/>
      <c r="BH823" s="13"/>
    </row>
    <row r="824" ht="14.25" customHeight="1">
      <c r="BG824" s="13"/>
      <c r="BH824" s="13"/>
    </row>
    <row r="825" ht="14.25" customHeight="1">
      <c r="BG825" s="13"/>
      <c r="BH825" s="13"/>
    </row>
    <row r="826" ht="14.25" customHeight="1">
      <c r="BG826" s="13"/>
      <c r="BH826" s="13"/>
    </row>
    <row r="827" ht="14.25" customHeight="1">
      <c r="BG827" s="13"/>
      <c r="BH827" s="13"/>
    </row>
    <row r="828" ht="14.25" customHeight="1">
      <c r="BG828" s="13"/>
      <c r="BH828" s="13"/>
    </row>
    <row r="829" ht="14.25" customHeight="1">
      <c r="BG829" s="13"/>
      <c r="BH829" s="13"/>
    </row>
    <row r="830" ht="14.25" customHeight="1">
      <c r="BG830" s="13"/>
      <c r="BH830" s="13"/>
    </row>
    <row r="831" ht="14.25" customHeight="1">
      <c r="BG831" s="13"/>
      <c r="BH831" s="13"/>
    </row>
    <row r="832" ht="14.25" customHeight="1">
      <c r="BG832" s="13"/>
      <c r="BH832" s="13"/>
    </row>
    <row r="833" ht="14.25" customHeight="1">
      <c r="BG833" s="13"/>
      <c r="BH833" s="13"/>
    </row>
    <row r="834" ht="14.25" customHeight="1">
      <c r="BG834" s="13"/>
      <c r="BH834" s="13"/>
    </row>
    <row r="835" ht="14.25" customHeight="1">
      <c r="BG835" s="13"/>
      <c r="BH835" s="13"/>
    </row>
    <row r="836" ht="14.25" customHeight="1">
      <c r="BG836" s="13"/>
      <c r="BH836" s="13"/>
    </row>
    <row r="837" ht="14.25" customHeight="1">
      <c r="BG837" s="13"/>
      <c r="BH837" s="13"/>
    </row>
    <row r="838" ht="14.25" customHeight="1">
      <c r="BG838" s="13"/>
      <c r="BH838" s="13"/>
    </row>
    <row r="839" ht="14.25" customHeight="1">
      <c r="BG839" s="13"/>
      <c r="BH839" s="13"/>
    </row>
    <row r="840" ht="14.25" customHeight="1">
      <c r="BG840" s="13"/>
      <c r="BH840" s="13"/>
    </row>
    <row r="841" ht="14.25" customHeight="1">
      <c r="BG841" s="13"/>
      <c r="BH841" s="13"/>
    </row>
    <row r="842" ht="14.25" customHeight="1">
      <c r="BG842" s="13"/>
      <c r="BH842" s="13"/>
    </row>
    <row r="843" ht="14.25" customHeight="1">
      <c r="BG843" s="13"/>
      <c r="BH843" s="13"/>
    </row>
    <row r="844" ht="14.25" customHeight="1">
      <c r="BG844" s="13"/>
      <c r="BH844" s="13"/>
    </row>
    <row r="845" ht="14.25" customHeight="1">
      <c r="BG845" s="13"/>
      <c r="BH845" s="13"/>
    </row>
    <row r="846" ht="14.25" customHeight="1">
      <c r="BG846" s="13"/>
      <c r="BH846" s="13"/>
    </row>
    <row r="847" ht="14.25" customHeight="1">
      <c r="BG847" s="13"/>
      <c r="BH847" s="13"/>
    </row>
    <row r="848" ht="14.25" customHeight="1">
      <c r="BG848" s="13"/>
      <c r="BH848" s="13"/>
    </row>
    <row r="849" ht="14.25" customHeight="1">
      <c r="BG849" s="13"/>
      <c r="BH849" s="13"/>
    </row>
    <row r="850" ht="14.25" customHeight="1">
      <c r="BG850" s="13"/>
      <c r="BH850" s="13"/>
    </row>
    <row r="851" ht="14.25" customHeight="1">
      <c r="BG851" s="13"/>
      <c r="BH851" s="13"/>
    </row>
    <row r="852" ht="14.25" customHeight="1">
      <c r="BG852" s="13"/>
      <c r="BH852" s="13"/>
    </row>
    <row r="853" ht="14.25" customHeight="1">
      <c r="BG853" s="13"/>
      <c r="BH853" s="13"/>
    </row>
    <row r="854" ht="14.25" customHeight="1">
      <c r="BG854" s="13"/>
      <c r="BH854" s="13"/>
    </row>
    <row r="855" ht="14.25" customHeight="1">
      <c r="BG855" s="13"/>
      <c r="BH855" s="13"/>
    </row>
    <row r="856" ht="14.25" customHeight="1">
      <c r="BG856" s="13"/>
      <c r="BH856" s="13"/>
    </row>
    <row r="857" ht="14.25" customHeight="1">
      <c r="BG857" s="13"/>
      <c r="BH857" s="13"/>
    </row>
    <row r="858" ht="14.25" customHeight="1">
      <c r="BG858" s="13"/>
      <c r="BH858" s="13"/>
    </row>
    <row r="859" ht="14.25" customHeight="1">
      <c r="BG859" s="13"/>
      <c r="BH859" s="13"/>
    </row>
    <row r="860" ht="14.25" customHeight="1">
      <c r="BG860" s="13"/>
      <c r="BH860" s="13"/>
    </row>
    <row r="861" ht="14.25" customHeight="1">
      <c r="BG861" s="13"/>
      <c r="BH861" s="13"/>
    </row>
    <row r="862" ht="14.25" customHeight="1">
      <c r="BG862" s="13"/>
      <c r="BH862" s="13"/>
    </row>
    <row r="863" ht="14.25" customHeight="1">
      <c r="BG863" s="13"/>
      <c r="BH863" s="13"/>
    </row>
    <row r="864" ht="14.25" customHeight="1">
      <c r="BG864" s="13"/>
      <c r="BH864" s="13"/>
    </row>
    <row r="865" ht="14.25" customHeight="1">
      <c r="BG865" s="13"/>
      <c r="BH865" s="13"/>
    </row>
    <row r="866" ht="14.25" customHeight="1">
      <c r="BG866" s="13"/>
      <c r="BH866" s="13"/>
    </row>
    <row r="867" ht="14.25" customHeight="1">
      <c r="BG867" s="13"/>
      <c r="BH867" s="13"/>
    </row>
    <row r="868" ht="14.25" customHeight="1">
      <c r="BG868" s="13"/>
      <c r="BH868" s="13"/>
    </row>
    <row r="869" ht="14.25" customHeight="1">
      <c r="BG869" s="13"/>
      <c r="BH869" s="13"/>
    </row>
    <row r="870" ht="14.25" customHeight="1">
      <c r="BG870" s="13"/>
      <c r="BH870" s="13"/>
    </row>
    <row r="871" ht="14.25" customHeight="1">
      <c r="BG871" s="13"/>
      <c r="BH871" s="13"/>
    </row>
    <row r="872" ht="14.25" customHeight="1">
      <c r="BG872" s="13"/>
      <c r="BH872" s="13"/>
    </row>
    <row r="873" ht="14.25" customHeight="1">
      <c r="BG873" s="13"/>
      <c r="BH873" s="13"/>
    </row>
    <row r="874" ht="14.25" customHeight="1">
      <c r="BG874" s="13"/>
      <c r="BH874" s="13"/>
    </row>
    <row r="875" ht="14.25" customHeight="1">
      <c r="BG875" s="13"/>
      <c r="BH875" s="13"/>
    </row>
    <row r="876" ht="14.25" customHeight="1">
      <c r="BG876" s="13"/>
      <c r="BH876" s="13"/>
    </row>
    <row r="877" ht="14.25" customHeight="1">
      <c r="BG877" s="13"/>
      <c r="BH877" s="13"/>
    </row>
    <row r="878" ht="14.25" customHeight="1">
      <c r="BG878" s="13"/>
      <c r="BH878" s="13"/>
    </row>
    <row r="879" ht="14.25" customHeight="1">
      <c r="BG879" s="13"/>
      <c r="BH879" s="13"/>
    </row>
    <row r="880" ht="14.25" customHeight="1">
      <c r="BG880" s="13"/>
      <c r="BH880" s="13"/>
    </row>
    <row r="881" ht="14.25" customHeight="1">
      <c r="BG881" s="13"/>
      <c r="BH881" s="13"/>
    </row>
    <row r="882" ht="14.25" customHeight="1">
      <c r="BG882" s="13"/>
      <c r="BH882" s="13"/>
    </row>
    <row r="883" ht="14.25" customHeight="1">
      <c r="BG883" s="13"/>
      <c r="BH883" s="13"/>
    </row>
    <row r="884" ht="14.25" customHeight="1">
      <c r="BG884" s="13"/>
      <c r="BH884" s="13"/>
    </row>
    <row r="885" ht="14.25" customHeight="1">
      <c r="BG885" s="13"/>
      <c r="BH885" s="13"/>
    </row>
    <row r="886" ht="14.25" customHeight="1">
      <c r="BG886" s="13"/>
      <c r="BH886" s="13"/>
    </row>
    <row r="887" ht="14.25" customHeight="1">
      <c r="BG887" s="13"/>
      <c r="BH887" s="13"/>
    </row>
    <row r="888" ht="14.25" customHeight="1">
      <c r="BG888" s="13"/>
      <c r="BH888" s="13"/>
    </row>
    <row r="889" ht="14.25" customHeight="1">
      <c r="BG889" s="13"/>
      <c r="BH889" s="13"/>
    </row>
    <row r="890" ht="14.25" customHeight="1">
      <c r="BG890" s="13"/>
      <c r="BH890" s="13"/>
    </row>
    <row r="891" ht="14.25" customHeight="1">
      <c r="BG891" s="13"/>
      <c r="BH891" s="13"/>
    </row>
    <row r="892" ht="14.25" customHeight="1">
      <c r="BG892" s="13"/>
      <c r="BH892" s="13"/>
    </row>
    <row r="893" ht="14.25" customHeight="1">
      <c r="BG893" s="13"/>
      <c r="BH893" s="13"/>
    </row>
    <row r="894" ht="14.25" customHeight="1">
      <c r="BG894" s="13"/>
      <c r="BH894" s="13"/>
    </row>
    <row r="895" ht="14.25" customHeight="1">
      <c r="BG895" s="13"/>
      <c r="BH895" s="13"/>
    </row>
    <row r="896" ht="14.25" customHeight="1">
      <c r="BG896" s="13"/>
      <c r="BH896" s="13"/>
    </row>
    <row r="897" ht="14.25" customHeight="1">
      <c r="BG897" s="13"/>
      <c r="BH897" s="13"/>
    </row>
    <row r="898" ht="14.25" customHeight="1">
      <c r="BG898" s="13"/>
      <c r="BH898" s="13"/>
    </row>
    <row r="899" ht="14.25" customHeight="1">
      <c r="BG899" s="13"/>
      <c r="BH899" s="13"/>
    </row>
    <row r="900" ht="14.25" customHeight="1">
      <c r="BG900" s="13"/>
      <c r="BH900" s="13"/>
    </row>
    <row r="901" ht="14.25" customHeight="1">
      <c r="BG901" s="13"/>
      <c r="BH901" s="13"/>
    </row>
    <row r="902" ht="14.25" customHeight="1">
      <c r="BG902" s="13"/>
      <c r="BH902" s="13"/>
    </row>
    <row r="903" ht="14.25" customHeight="1">
      <c r="BG903" s="13"/>
      <c r="BH903" s="13"/>
    </row>
    <row r="904" ht="14.25" customHeight="1">
      <c r="BG904" s="13"/>
      <c r="BH904" s="13"/>
    </row>
    <row r="905" ht="14.25" customHeight="1">
      <c r="BG905" s="13"/>
      <c r="BH905" s="13"/>
    </row>
    <row r="906" ht="14.25" customHeight="1">
      <c r="BG906" s="13"/>
      <c r="BH906" s="13"/>
    </row>
    <row r="907" ht="14.25" customHeight="1">
      <c r="BG907" s="13"/>
      <c r="BH907" s="13"/>
    </row>
    <row r="908" ht="14.25" customHeight="1">
      <c r="BG908" s="13"/>
      <c r="BH908" s="13"/>
    </row>
    <row r="909" ht="14.25" customHeight="1">
      <c r="BG909" s="13"/>
      <c r="BH909" s="13"/>
    </row>
    <row r="910" ht="14.25" customHeight="1">
      <c r="BG910" s="13"/>
      <c r="BH910" s="13"/>
    </row>
    <row r="911" ht="14.25" customHeight="1">
      <c r="BG911" s="13"/>
      <c r="BH911" s="13"/>
    </row>
    <row r="912" ht="14.25" customHeight="1">
      <c r="BG912" s="13"/>
      <c r="BH912" s="13"/>
    </row>
    <row r="913" ht="14.25" customHeight="1">
      <c r="BG913" s="13"/>
      <c r="BH913" s="13"/>
    </row>
    <row r="914" ht="14.25" customHeight="1">
      <c r="BG914" s="13"/>
      <c r="BH914" s="13"/>
    </row>
    <row r="915" ht="14.25" customHeight="1">
      <c r="BG915" s="13"/>
      <c r="BH915" s="13"/>
    </row>
    <row r="916" ht="14.25" customHeight="1">
      <c r="BG916" s="13"/>
      <c r="BH916" s="13"/>
    </row>
    <row r="917" ht="14.25" customHeight="1">
      <c r="BG917" s="13"/>
      <c r="BH917" s="13"/>
    </row>
    <row r="918" ht="14.25" customHeight="1">
      <c r="BG918" s="13"/>
      <c r="BH918" s="13"/>
    </row>
    <row r="919" ht="14.25" customHeight="1">
      <c r="BG919" s="13"/>
      <c r="BH919" s="13"/>
    </row>
    <row r="920" ht="14.25" customHeight="1">
      <c r="BG920" s="13"/>
      <c r="BH920" s="13"/>
    </row>
    <row r="921" ht="14.25" customHeight="1">
      <c r="BG921" s="13"/>
      <c r="BH921" s="13"/>
    </row>
    <row r="922" ht="14.25" customHeight="1">
      <c r="BG922" s="13"/>
      <c r="BH922" s="13"/>
    </row>
    <row r="923" ht="14.25" customHeight="1">
      <c r="BG923" s="13"/>
      <c r="BH923" s="13"/>
    </row>
    <row r="924" ht="14.25" customHeight="1">
      <c r="BG924" s="13"/>
      <c r="BH924" s="13"/>
    </row>
    <row r="925" ht="14.25" customHeight="1">
      <c r="BG925" s="13"/>
      <c r="BH925" s="13"/>
    </row>
    <row r="926" ht="14.25" customHeight="1">
      <c r="BG926" s="13"/>
      <c r="BH926" s="13"/>
    </row>
    <row r="927" ht="14.25" customHeight="1">
      <c r="BG927" s="13"/>
      <c r="BH927" s="13"/>
    </row>
    <row r="928" ht="14.25" customHeight="1">
      <c r="BG928" s="13"/>
      <c r="BH928" s="13"/>
    </row>
    <row r="929" ht="14.25" customHeight="1">
      <c r="BG929" s="13"/>
      <c r="BH929" s="13"/>
    </row>
    <row r="930" ht="14.25" customHeight="1">
      <c r="BG930" s="13"/>
      <c r="BH930" s="13"/>
    </row>
    <row r="931" ht="14.25" customHeight="1">
      <c r="BG931" s="13"/>
      <c r="BH931" s="13"/>
    </row>
    <row r="932" ht="14.25" customHeight="1">
      <c r="BG932" s="13"/>
      <c r="BH932" s="13"/>
    </row>
    <row r="933" ht="14.25" customHeight="1">
      <c r="BG933" s="13"/>
      <c r="BH933" s="13"/>
    </row>
    <row r="934" ht="14.25" customHeight="1">
      <c r="BG934" s="13"/>
      <c r="BH934" s="13"/>
    </row>
    <row r="935" ht="14.25" customHeight="1">
      <c r="BG935" s="13"/>
      <c r="BH935" s="13"/>
    </row>
    <row r="936" ht="14.25" customHeight="1">
      <c r="BG936" s="13"/>
      <c r="BH936" s="13"/>
    </row>
    <row r="937" ht="14.25" customHeight="1">
      <c r="BG937" s="13"/>
      <c r="BH937" s="13"/>
    </row>
    <row r="938" ht="14.25" customHeight="1">
      <c r="BG938" s="13"/>
      <c r="BH938" s="13"/>
    </row>
    <row r="939" ht="14.25" customHeight="1">
      <c r="BG939" s="13"/>
      <c r="BH939" s="13"/>
    </row>
    <row r="940" ht="14.25" customHeight="1">
      <c r="BG940" s="13"/>
      <c r="BH940" s="13"/>
    </row>
    <row r="941" ht="14.25" customHeight="1">
      <c r="BG941" s="13"/>
      <c r="BH941" s="13"/>
    </row>
    <row r="942" ht="14.25" customHeight="1">
      <c r="BG942" s="13"/>
      <c r="BH942" s="13"/>
    </row>
    <row r="943" ht="14.25" customHeight="1">
      <c r="BG943" s="13"/>
      <c r="BH943" s="13"/>
    </row>
    <row r="944" ht="14.25" customHeight="1">
      <c r="BG944" s="13"/>
      <c r="BH944" s="13"/>
    </row>
    <row r="945" ht="14.25" customHeight="1">
      <c r="BG945" s="13"/>
      <c r="BH945" s="13"/>
    </row>
    <row r="946" ht="14.25" customHeight="1">
      <c r="BG946" s="13"/>
      <c r="BH946" s="13"/>
    </row>
    <row r="947" ht="14.25" customHeight="1">
      <c r="BG947" s="13"/>
      <c r="BH947" s="13"/>
    </row>
    <row r="948" ht="14.25" customHeight="1">
      <c r="BG948" s="13"/>
      <c r="BH948" s="13"/>
    </row>
    <row r="949" ht="14.25" customHeight="1">
      <c r="BG949" s="13"/>
      <c r="BH949" s="13"/>
    </row>
    <row r="950" ht="14.25" customHeight="1">
      <c r="BG950" s="13"/>
      <c r="BH950" s="13"/>
    </row>
    <row r="951" ht="14.25" customHeight="1">
      <c r="BG951" s="13"/>
      <c r="BH951" s="13"/>
    </row>
    <row r="952" ht="14.25" customHeight="1">
      <c r="BG952" s="13"/>
      <c r="BH952" s="13"/>
    </row>
    <row r="953" ht="14.25" customHeight="1">
      <c r="BG953" s="13"/>
      <c r="BH953" s="13"/>
    </row>
    <row r="954" ht="14.25" customHeight="1">
      <c r="BG954" s="13"/>
      <c r="BH954" s="13"/>
    </row>
    <row r="955" ht="14.25" customHeight="1">
      <c r="BG955" s="13"/>
      <c r="BH955" s="13"/>
    </row>
    <row r="956" ht="14.25" customHeight="1">
      <c r="BG956" s="13"/>
      <c r="BH956" s="13"/>
    </row>
    <row r="957" ht="14.25" customHeight="1">
      <c r="BG957" s="13"/>
      <c r="BH957" s="13"/>
    </row>
    <row r="958" ht="14.25" customHeight="1">
      <c r="BG958" s="13"/>
      <c r="BH958" s="13"/>
    </row>
    <row r="959" ht="14.25" customHeight="1">
      <c r="BG959" s="13"/>
      <c r="BH959" s="13"/>
    </row>
    <row r="960" ht="14.25" customHeight="1">
      <c r="BG960" s="13"/>
      <c r="BH960" s="13"/>
    </row>
    <row r="961" ht="14.25" customHeight="1">
      <c r="BG961" s="13"/>
      <c r="BH961" s="13"/>
    </row>
    <row r="962" ht="14.25" customHeight="1">
      <c r="BG962" s="13"/>
      <c r="BH962" s="13"/>
    </row>
    <row r="963" ht="14.25" customHeight="1">
      <c r="BG963" s="13"/>
      <c r="BH963" s="13"/>
    </row>
    <row r="964" ht="14.25" customHeight="1">
      <c r="BG964" s="13"/>
      <c r="BH964" s="13"/>
    </row>
    <row r="965" ht="14.25" customHeight="1">
      <c r="BG965" s="13"/>
      <c r="BH965" s="13"/>
    </row>
    <row r="966" ht="14.25" customHeight="1">
      <c r="BG966" s="13"/>
      <c r="BH966" s="13"/>
    </row>
    <row r="967" ht="14.25" customHeight="1">
      <c r="BG967" s="13"/>
      <c r="BH967" s="13"/>
    </row>
    <row r="968" ht="14.25" customHeight="1">
      <c r="BG968" s="13"/>
      <c r="BH968" s="13"/>
    </row>
    <row r="969" ht="14.25" customHeight="1">
      <c r="BG969" s="13"/>
      <c r="BH969" s="13"/>
    </row>
    <row r="970" ht="14.25" customHeight="1">
      <c r="BG970" s="13"/>
      <c r="BH970" s="13"/>
    </row>
    <row r="971" ht="14.25" customHeight="1">
      <c r="BG971" s="13"/>
      <c r="BH971" s="13"/>
    </row>
    <row r="972" ht="14.25" customHeight="1">
      <c r="BG972" s="13"/>
      <c r="BH972" s="13"/>
    </row>
    <row r="973" ht="14.25" customHeight="1">
      <c r="BG973" s="13"/>
      <c r="BH973" s="13"/>
    </row>
    <row r="974" ht="14.25" customHeight="1">
      <c r="BG974" s="13"/>
      <c r="BH974" s="13"/>
    </row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  <hyperlink r:id="rId31" ref="I8"/>
    <hyperlink r:id="rId32" ref="V8"/>
    <hyperlink r:id="rId33" ref="X8"/>
    <hyperlink r:id="rId34" ref="BD8"/>
    <hyperlink r:id="rId35" ref="BI8"/>
    <hyperlink r:id="rId36" ref="I9"/>
    <hyperlink r:id="rId37" ref="V9"/>
    <hyperlink r:id="rId38" ref="X9"/>
    <hyperlink r:id="rId39" ref="BD9"/>
    <hyperlink r:id="rId40" ref="BI9"/>
    <hyperlink r:id="rId41" ref="I10"/>
    <hyperlink r:id="rId42" ref="V10"/>
    <hyperlink r:id="rId43" ref="X10"/>
    <hyperlink r:id="rId44" ref="BD10"/>
    <hyperlink r:id="rId45" ref="BI10"/>
    <hyperlink r:id="rId46" ref="I11"/>
    <hyperlink r:id="rId47" ref="V11"/>
    <hyperlink r:id="rId48" ref="X11"/>
    <hyperlink r:id="rId49" ref="BD11"/>
    <hyperlink r:id="rId50" ref="BI11"/>
    <hyperlink r:id="rId51" ref="I12"/>
    <hyperlink r:id="rId52" ref="V12"/>
    <hyperlink r:id="rId53" ref="X12"/>
    <hyperlink r:id="rId54" ref="BD12"/>
    <hyperlink r:id="rId55" ref="BI12"/>
    <hyperlink r:id="rId56" ref="I13"/>
    <hyperlink r:id="rId57" ref="V13"/>
    <hyperlink r:id="rId58" ref="X13"/>
    <hyperlink r:id="rId59" ref="BD13"/>
    <hyperlink r:id="rId60" ref="BI13"/>
  </hyperlinks>
  <printOptions/>
  <pageMargins bottom="0.75" footer="0.0" header="0.0" left="0.7" right="0.7" top="0.75"/>
  <pageSetup orientation="landscape"/>
  <drawing r:id="rId6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2.38"/>
    <col customWidth="1" min="3" max="3" width="12.88"/>
    <col customWidth="1" min="4" max="4" width="12.0"/>
    <col customWidth="1" min="5" max="5" width="13.5"/>
    <col customWidth="1" min="6" max="6" width="14.5"/>
    <col customWidth="1" min="7" max="9" width="14.25"/>
    <col customWidth="1" min="10" max="10" width="17.0"/>
    <col customWidth="1" min="11" max="11" width="23.88"/>
    <col customWidth="1" min="12" max="12" width="17.38"/>
    <col customWidth="1" min="13" max="13" width="19.38"/>
    <col customWidth="1" min="14" max="15" width="17.0"/>
    <col customWidth="1" min="16" max="16" width="20.75"/>
    <col customWidth="1" min="17" max="17" width="13.5"/>
    <col customWidth="1" min="18" max="19" width="13.13"/>
    <col customWidth="1" min="20" max="20" width="17.0"/>
    <col customWidth="1" min="21" max="21" width="14.38"/>
    <col customWidth="1" min="22" max="29" width="8.63"/>
    <col customWidth="1" min="30" max="30" width="10.0"/>
    <col customWidth="1" min="31" max="31" width="13.25"/>
    <col customWidth="1" min="32" max="33" width="10.38"/>
    <col customWidth="1" min="34" max="34" width="17.38"/>
    <col customWidth="1" min="35" max="35" width="10.38"/>
    <col customWidth="1" min="36" max="36" width="13.13"/>
    <col customWidth="1" min="37" max="38" width="10.38"/>
    <col customWidth="1" min="39" max="41" width="14.5"/>
    <col customWidth="1" min="42" max="42" width="11.38"/>
    <col customWidth="1" min="43" max="43" width="10.13"/>
    <col customWidth="1" min="44" max="44" width="9.13"/>
    <col customWidth="1" min="45" max="46" width="14.38"/>
    <col customWidth="1" min="47" max="55" width="14.25"/>
    <col customWidth="1" min="56" max="56" width="9.13"/>
    <col customWidth="1" min="57" max="57" width="9.75"/>
    <col customWidth="1" min="58" max="60" width="14.63"/>
    <col customWidth="1" min="61" max="61" width="57.38"/>
    <col customWidth="1" min="62" max="62" width="10.0"/>
    <col customWidth="1" min="63" max="64" width="10.13"/>
    <col customWidth="1" min="65" max="65" width="9.25"/>
    <col customWidth="1" min="66" max="66" width="8.63"/>
    <col customWidth="1" min="67" max="69" width="11.0"/>
    <col customWidth="1" min="70" max="70" width="11.88"/>
    <col customWidth="1" min="71" max="72" width="10.63"/>
    <col customWidth="1" min="73" max="73" width="12.75"/>
    <col customWidth="1" min="74" max="74" width="11.38"/>
    <col customWidth="1" min="75" max="75" width="14.88"/>
    <col customWidth="1" min="76" max="76" width="15.0"/>
    <col customWidth="1" min="77" max="77" width="15.25"/>
    <col customWidth="1" min="78" max="78" width="18.25"/>
    <col customWidth="1" min="79" max="79" width="15.25"/>
    <col customWidth="1" min="80" max="80" width="10.88"/>
    <col customWidth="1" min="81" max="86" width="10.0"/>
    <col customWidth="1" min="87" max="88" width="10.63"/>
    <col customWidth="1" min="89" max="89" width="10.88"/>
  </cols>
  <sheetData>
    <row r="1" ht="54.0" customHeight="1">
      <c r="A1" s="1" t="s">
        <v>0</v>
      </c>
      <c r="B1" s="35" t="s">
        <v>83</v>
      </c>
      <c r="C1" s="35" t="s">
        <v>84</v>
      </c>
      <c r="D1" s="35" t="s">
        <v>85</v>
      </c>
      <c r="E1" s="35" t="s">
        <v>86</v>
      </c>
      <c r="F1" s="35" t="s">
        <v>87</v>
      </c>
      <c r="G1" s="2" t="s">
        <v>1</v>
      </c>
      <c r="H1" s="2" t="s">
        <v>2</v>
      </c>
      <c r="I1" s="3" t="s">
        <v>3</v>
      </c>
      <c r="J1" s="4" t="s">
        <v>4</v>
      </c>
      <c r="K1" s="4" t="s">
        <v>88</v>
      </c>
      <c r="L1" s="2" t="s">
        <v>5</v>
      </c>
      <c r="M1" s="2" t="s">
        <v>6</v>
      </c>
      <c r="N1" s="2" t="s">
        <v>7</v>
      </c>
      <c r="O1" s="2" t="s">
        <v>8</v>
      </c>
      <c r="P1" s="4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4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2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2" t="s">
        <v>23</v>
      </c>
      <c r="AH1" s="4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2" t="s">
        <v>31</v>
      </c>
      <c r="BC1" s="4" t="s">
        <v>101</v>
      </c>
      <c r="BD1" s="4" t="s">
        <v>102</v>
      </c>
      <c r="BE1" s="4" t="s">
        <v>103</v>
      </c>
      <c r="BF1" s="36" t="s">
        <v>104</v>
      </c>
      <c r="BG1" s="37" t="s">
        <v>30</v>
      </c>
      <c r="BH1" s="37" t="s">
        <v>31</v>
      </c>
      <c r="BI1" s="3" t="s">
        <v>3</v>
      </c>
      <c r="BJ1" s="6" t="s">
        <v>32</v>
      </c>
      <c r="BK1" s="38" t="s">
        <v>33</v>
      </c>
      <c r="BL1" s="38" t="s">
        <v>105</v>
      </c>
      <c r="BM1" s="8" t="s">
        <v>34</v>
      </c>
      <c r="BN1" s="9" t="s">
        <v>35</v>
      </c>
      <c r="BO1" s="9" t="s">
        <v>36</v>
      </c>
      <c r="BP1" s="9" t="s">
        <v>37</v>
      </c>
      <c r="BQ1" s="9" t="s">
        <v>38</v>
      </c>
      <c r="BR1" s="9" t="s">
        <v>39</v>
      </c>
      <c r="BS1" s="9" t="s">
        <v>40</v>
      </c>
      <c r="BT1" s="9" t="s">
        <v>41</v>
      </c>
      <c r="BU1" s="9" t="s">
        <v>42</v>
      </c>
      <c r="BV1" s="9" t="s">
        <v>43</v>
      </c>
      <c r="BW1" s="10" t="s">
        <v>223</v>
      </c>
      <c r="BX1" s="10" t="s">
        <v>224</v>
      </c>
      <c r="BY1" s="10" t="s">
        <v>46</v>
      </c>
      <c r="BZ1" s="10" t="s">
        <v>47</v>
      </c>
      <c r="CA1" s="10" t="s">
        <v>48</v>
      </c>
      <c r="CB1" s="10" t="s">
        <v>225</v>
      </c>
      <c r="CC1" s="10" t="s">
        <v>226</v>
      </c>
      <c r="CD1" s="10" t="s">
        <v>51</v>
      </c>
      <c r="CE1" s="10" t="s">
        <v>108</v>
      </c>
      <c r="CF1" s="10" t="s">
        <v>54</v>
      </c>
      <c r="CG1" s="10" t="s">
        <v>227</v>
      </c>
      <c r="CH1" s="10" t="s">
        <v>110</v>
      </c>
      <c r="CI1" s="10" t="s">
        <v>111</v>
      </c>
      <c r="CJ1" s="10" t="s">
        <v>112</v>
      </c>
      <c r="CK1" s="10" t="s">
        <v>58</v>
      </c>
    </row>
    <row r="2" ht="14.25" customHeight="1">
      <c r="A2" s="11" t="s">
        <v>228</v>
      </c>
      <c r="B2" s="39"/>
      <c r="C2" s="13"/>
      <c r="D2" s="13"/>
      <c r="E2" s="40"/>
      <c r="F2" s="13"/>
      <c r="G2" s="12"/>
      <c r="H2" s="13"/>
      <c r="I2" s="14" t="s">
        <v>229</v>
      </c>
      <c r="J2" s="42" t="s">
        <v>114</v>
      </c>
      <c r="K2" s="13" t="s">
        <v>115</v>
      </c>
      <c r="L2" s="11" t="s">
        <v>113</v>
      </c>
      <c r="M2" s="13" t="s">
        <v>62</v>
      </c>
      <c r="N2" s="13" t="s">
        <v>63</v>
      </c>
      <c r="O2" s="15">
        <v>8000.0</v>
      </c>
      <c r="P2" s="5" t="s">
        <v>64</v>
      </c>
      <c r="Q2" s="43" t="s">
        <v>117</v>
      </c>
      <c r="R2" s="44" t="s">
        <v>69</v>
      </c>
      <c r="S2" s="44" t="s">
        <v>69</v>
      </c>
      <c r="T2" s="16" t="s">
        <v>66</v>
      </c>
      <c r="U2" s="17">
        <v>2.01</v>
      </c>
      <c r="V2" s="18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9">
        <v>83.07</v>
      </c>
      <c r="AB2" s="21">
        <v>25.0</v>
      </c>
      <c r="AC2" s="19">
        <v>2.5</v>
      </c>
      <c r="AD2" s="19">
        <v>6.0</v>
      </c>
      <c r="AE2" s="19">
        <v>7.8</v>
      </c>
      <c r="AF2" s="22">
        <v>0.0</v>
      </c>
      <c r="AG2" s="23" t="s">
        <v>69</v>
      </c>
      <c r="AH2" s="45" t="s">
        <v>69</v>
      </c>
      <c r="AI2" s="46" t="s">
        <v>69</v>
      </c>
      <c r="AJ2" s="45" t="s">
        <v>69</v>
      </c>
      <c r="AK2" s="45" t="s">
        <v>69</v>
      </c>
      <c r="AL2" s="45" t="s">
        <v>69</v>
      </c>
      <c r="AM2" s="45" t="s">
        <v>69</v>
      </c>
      <c r="AN2" s="45" t="s">
        <v>69</v>
      </c>
      <c r="AO2" s="45" t="s">
        <v>69</v>
      </c>
      <c r="AP2" s="23" t="s">
        <v>69</v>
      </c>
      <c r="AQ2" s="23" t="s">
        <v>69</v>
      </c>
      <c r="AR2" s="23" t="s">
        <v>69</v>
      </c>
      <c r="AS2" s="23" t="s">
        <v>69</v>
      </c>
      <c r="AT2" s="23" t="s">
        <v>69</v>
      </c>
      <c r="AU2" s="23" t="s">
        <v>69</v>
      </c>
      <c r="AV2" s="23" t="s">
        <v>69</v>
      </c>
      <c r="AW2" s="23" t="s">
        <v>69</v>
      </c>
      <c r="AX2" s="23" t="s">
        <v>69</v>
      </c>
      <c r="AY2" s="23" t="s">
        <v>69</v>
      </c>
      <c r="AZ2" s="23" t="s">
        <v>69</v>
      </c>
      <c r="BA2" s="23" t="s">
        <v>69</v>
      </c>
      <c r="BB2" s="23" t="s">
        <v>69</v>
      </c>
      <c r="BC2" s="47">
        <v>0.0</v>
      </c>
      <c r="BD2" s="48" t="s">
        <v>118</v>
      </c>
      <c r="BE2" s="49">
        <v>1.0</v>
      </c>
      <c r="BF2" s="50">
        <v>10.0</v>
      </c>
      <c r="BG2" s="51" t="s">
        <v>72</v>
      </c>
      <c r="BH2" s="52">
        <v>0.0</v>
      </c>
      <c r="BI2" s="14" t="s">
        <v>230</v>
      </c>
      <c r="BJ2" s="58" t="s">
        <v>69</v>
      </c>
      <c r="BK2" s="59">
        <v>35.0</v>
      </c>
      <c r="BL2" s="224" t="s">
        <v>69</v>
      </c>
      <c r="BM2" s="56">
        <v>-158378.0</v>
      </c>
      <c r="BN2" s="57"/>
      <c r="BO2" s="57"/>
      <c r="BP2" s="57"/>
      <c r="BQ2" s="57"/>
      <c r="BR2" s="57"/>
      <c r="BS2" s="57"/>
      <c r="BT2" s="57"/>
      <c r="BU2" s="57"/>
      <c r="BV2" s="57"/>
      <c r="BW2" s="58"/>
      <c r="BX2" s="59"/>
      <c r="BY2" s="59"/>
      <c r="BZ2" s="60"/>
      <c r="CA2" s="225"/>
      <c r="CB2" s="61"/>
      <c r="CC2" s="61"/>
      <c r="CD2" s="61"/>
      <c r="CE2" s="61">
        <v>1040295.0</v>
      </c>
      <c r="CF2" s="61"/>
      <c r="CG2" s="61"/>
      <c r="CH2" s="61"/>
      <c r="CI2" s="61"/>
      <c r="CJ2" s="61"/>
      <c r="CK2" s="62"/>
    </row>
    <row r="3" ht="14.25" customHeight="1">
      <c r="A3" s="11" t="s">
        <v>231</v>
      </c>
      <c r="B3" s="39"/>
      <c r="C3" s="13"/>
      <c r="D3" s="13"/>
      <c r="E3" s="40"/>
      <c r="F3" s="13"/>
      <c r="G3" s="13"/>
      <c r="H3" s="12"/>
      <c r="I3" s="125" t="s">
        <v>232</v>
      </c>
      <c r="J3" s="42" t="s">
        <v>114</v>
      </c>
      <c r="K3" s="13" t="s">
        <v>115</v>
      </c>
      <c r="L3" s="11" t="s">
        <v>119</v>
      </c>
      <c r="M3" s="13" t="s">
        <v>62</v>
      </c>
      <c r="N3" s="13" t="s">
        <v>63</v>
      </c>
      <c r="O3" s="15">
        <v>8000.0</v>
      </c>
      <c r="P3" s="5" t="s">
        <v>64</v>
      </c>
      <c r="Q3" s="43" t="s">
        <v>117</v>
      </c>
      <c r="R3" s="44" t="s">
        <v>69</v>
      </c>
      <c r="S3" s="44" t="s">
        <v>69</v>
      </c>
      <c r="T3" s="16" t="s">
        <v>66</v>
      </c>
      <c r="U3" s="17">
        <v>2.01</v>
      </c>
      <c r="V3" s="18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9">
        <v>83.07</v>
      </c>
      <c r="AB3" s="21">
        <v>10.0</v>
      </c>
      <c r="AC3" s="19">
        <v>2.5</v>
      </c>
      <c r="AD3" s="19">
        <v>6.0</v>
      </c>
      <c r="AE3" s="19">
        <v>7.8</v>
      </c>
      <c r="AF3" s="22">
        <v>0.0</v>
      </c>
      <c r="AG3" s="23" t="s">
        <v>69</v>
      </c>
      <c r="AH3" s="45" t="s">
        <v>69</v>
      </c>
      <c r="AI3" s="46" t="s">
        <v>69</v>
      </c>
      <c r="AJ3" s="45" t="s">
        <v>69</v>
      </c>
      <c r="AK3" s="45" t="s">
        <v>69</v>
      </c>
      <c r="AL3" s="45" t="s">
        <v>69</v>
      </c>
      <c r="AM3" s="45" t="s">
        <v>69</v>
      </c>
      <c r="AN3" s="45" t="s">
        <v>69</v>
      </c>
      <c r="AO3" s="45" t="s">
        <v>69</v>
      </c>
      <c r="AP3" s="23" t="s">
        <v>69</v>
      </c>
      <c r="AQ3" s="23" t="s">
        <v>69</v>
      </c>
      <c r="AR3" s="23" t="s">
        <v>69</v>
      </c>
      <c r="AS3" s="23" t="s">
        <v>69</v>
      </c>
      <c r="AT3" s="23" t="s">
        <v>69</v>
      </c>
      <c r="AU3" s="23" t="s">
        <v>69</v>
      </c>
      <c r="AV3" s="23" t="s">
        <v>69</v>
      </c>
      <c r="AW3" s="23" t="s">
        <v>69</v>
      </c>
      <c r="AX3" s="23" t="s">
        <v>69</v>
      </c>
      <c r="AY3" s="23" t="s">
        <v>69</v>
      </c>
      <c r="AZ3" s="23" t="s">
        <v>69</v>
      </c>
      <c r="BA3" s="23" t="s">
        <v>69</v>
      </c>
      <c r="BB3" s="23" t="s">
        <v>69</v>
      </c>
      <c r="BC3" s="47">
        <v>0.0</v>
      </c>
      <c r="BD3" s="48" t="s">
        <v>118</v>
      </c>
      <c r="BE3" s="49">
        <v>1.0</v>
      </c>
      <c r="BF3" s="50">
        <v>10.0</v>
      </c>
      <c r="BG3" s="51" t="s">
        <v>72</v>
      </c>
      <c r="BH3" s="52">
        <v>0.0</v>
      </c>
      <c r="BI3" s="226" t="s">
        <v>233</v>
      </c>
      <c r="BJ3" s="67" t="s">
        <v>69</v>
      </c>
      <c r="BK3" s="68">
        <v>35.0</v>
      </c>
      <c r="BL3" s="227" t="s">
        <v>69</v>
      </c>
      <c r="BM3" s="56">
        <v>-12107.0</v>
      </c>
      <c r="BN3" s="57"/>
      <c r="BO3" s="57"/>
      <c r="BP3" s="57"/>
      <c r="BQ3" s="57"/>
      <c r="BR3" s="57"/>
      <c r="BS3" s="57"/>
      <c r="BT3" s="57"/>
      <c r="BU3" s="57"/>
      <c r="BV3" s="57"/>
      <c r="BW3" s="67"/>
      <c r="BX3" s="68"/>
      <c r="BY3" s="68"/>
      <c r="BZ3" s="69"/>
      <c r="CA3" s="228"/>
      <c r="CB3" s="70"/>
      <c r="CC3" s="70"/>
      <c r="CD3" s="70"/>
      <c r="CE3" s="70">
        <v>315656.0</v>
      </c>
      <c r="CF3" s="70"/>
      <c r="CG3" s="70"/>
      <c r="CH3" s="70"/>
      <c r="CI3" s="70"/>
      <c r="CJ3" s="70"/>
      <c r="CK3" s="71"/>
    </row>
    <row r="4" ht="14.25" customHeight="1">
      <c r="A4" s="11" t="s">
        <v>234</v>
      </c>
      <c r="B4" s="13"/>
      <c r="C4" s="43"/>
      <c r="D4" s="13"/>
      <c r="E4" s="13"/>
      <c r="F4" s="42"/>
      <c r="G4" s="12"/>
      <c r="H4" s="13"/>
      <c r="I4" s="229" t="s">
        <v>235</v>
      </c>
      <c r="J4" s="42" t="s">
        <v>121</v>
      </c>
      <c r="K4" s="13" t="s">
        <v>115</v>
      </c>
      <c r="L4" s="11" t="s">
        <v>120</v>
      </c>
      <c r="M4" s="13" t="s">
        <v>62</v>
      </c>
      <c r="N4" s="13" t="s">
        <v>63</v>
      </c>
      <c r="O4" s="15">
        <v>8000.0</v>
      </c>
      <c r="P4" s="5" t="s">
        <v>64</v>
      </c>
      <c r="Q4" s="43" t="s">
        <v>84</v>
      </c>
      <c r="R4" s="19">
        <v>100.0</v>
      </c>
      <c r="S4" s="44" t="s">
        <v>69</v>
      </c>
      <c r="T4" s="16" t="s">
        <v>66</v>
      </c>
      <c r="U4" s="17">
        <v>2.01</v>
      </c>
      <c r="V4" s="18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9">
        <v>83.07</v>
      </c>
      <c r="AB4" s="21">
        <v>25.0</v>
      </c>
      <c r="AC4" s="19">
        <v>2.5</v>
      </c>
      <c r="AD4" s="19">
        <v>6.0</v>
      </c>
      <c r="AE4" s="19">
        <v>7.8</v>
      </c>
      <c r="AF4" s="22">
        <v>0.0</v>
      </c>
      <c r="AG4" s="23" t="s">
        <v>69</v>
      </c>
      <c r="AH4" s="24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27">
        <v>0.0</v>
      </c>
      <c r="AP4" s="23" t="s">
        <v>69</v>
      </c>
      <c r="AQ4" s="23" t="s">
        <v>69</v>
      </c>
      <c r="AR4" s="23" t="s">
        <v>69</v>
      </c>
      <c r="AS4" s="23" t="s">
        <v>69</v>
      </c>
      <c r="AT4" s="23" t="s">
        <v>69</v>
      </c>
      <c r="AU4" s="23" t="s">
        <v>69</v>
      </c>
      <c r="AV4" s="23" t="s">
        <v>69</v>
      </c>
      <c r="AW4" s="23" t="s">
        <v>69</v>
      </c>
      <c r="AX4" s="23" t="s">
        <v>69</v>
      </c>
      <c r="AY4" s="23" t="s">
        <v>69</v>
      </c>
      <c r="AZ4" s="23" t="s">
        <v>69</v>
      </c>
      <c r="BA4" s="23" t="s">
        <v>69</v>
      </c>
      <c r="BB4" s="23" t="s">
        <v>69</v>
      </c>
      <c r="BC4" s="47">
        <v>0.0</v>
      </c>
      <c r="BD4" s="48" t="s">
        <v>118</v>
      </c>
      <c r="BE4" s="49">
        <v>1.0</v>
      </c>
      <c r="BF4" s="50">
        <v>10.0</v>
      </c>
      <c r="BG4" s="51" t="s">
        <v>72</v>
      </c>
      <c r="BH4" s="52">
        <v>0.0</v>
      </c>
      <c r="BI4" s="229" t="s">
        <v>236</v>
      </c>
      <c r="BJ4" s="67">
        <v>80.0</v>
      </c>
      <c r="BK4" s="68">
        <v>35.0</v>
      </c>
      <c r="BL4" s="227" t="s">
        <v>69</v>
      </c>
      <c r="BM4" s="56">
        <v>94076.0</v>
      </c>
      <c r="BN4" s="65"/>
      <c r="BO4" s="68"/>
      <c r="BP4" s="57"/>
      <c r="BQ4" s="68"/>
      <c r="BR4" s="68"/>
      <c r="BS4" s="68"/>
      <c r="BT4" s="68"/>
      <c r="BU4" s="68"/>
      <c r="BV4" s="57"/>
      <c r="BW4" s="67"/>
      <c r="BX4" s="68"/>
      <c r="BY4" s="68"/>
      <c r="BZ4" s="69"/>
      <c r="CA4" s="228"/>
      <c r="CB4" s="70"/>
      <c r="CC4" s="70"/>
      <c r="CD4" s="70"/>
      <c r="CE4" s="70">
        <v>558241.0</v>
      </c>
      <c r="CF4" s="70"/>
      <c r="CG4" s="70"/>
      <c r="CH4" s="70"/>
      <c r="CI4" s="70"/>
      <c r="CJ4" s="70"/>
      <c r="CK4" s="71"/>
    </row>
    <row r="5" ht="14.25" customHeight="1">
      <c r="A5" s="11" t="s">
        <v>237</v>
      </c>
      <c r="B5" s="13"/>
      <c r="C5" s="43"/>
      <c r="D5" s="13"/>
      <c r="E5" s="13"/>
      <c r="F5" s="42"/>
      <c r="G5" s="13"/>
      <c r="H5" s="12"/>
      <c r="I5" s="14" t="s">
        <v>238</v>
      </c>
      <c r="J5" s="42" t="s">
        <v>121</v>
      </c>
      <c r="K5" s="13" t="s">
        <v>115</v>
      </c>
      <c r="L5" s="11" t="s">
        <v>122</v>
      </c>
      <c r="M5" s="13" t="s">
        <v>62</v>
      </c>
      <c r="N5" s="13" t="s">
        <v>63</v>
      </c>
      <c r="O5" s="15">
        <v>8000.0</v>
      </c>
      <c r="P5" s="5" t="s">
        <v>64</v>
      </c>
      <c r="Q5" s="43" t="s">
        <v>84</v>
      </c>
      <c r="R5" s="19">
        <v>100.0</v>
      </c>
      <c r="S5" s="44" t="s">
        <v>69</v>
      </c>
      <c r="T5" s="16" t="s">
        <v>66</v>
      </c>
      <c r="U5" s="17">
        <v>2.01</v>
      </c>
      <c r="V5" s="18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9">
        <v>83.07</v>
      </c>
      <c r="AB5" s="21">
        <v>10.0</v>
      </c>
      <c r="AC5" s="19">
        <v>2.5</v>
      </c>
      <c r="AD5" s="19">
        <v>6.0</v>
      </c>
      <c r="AE5" s="19">
        <v>7.8</v>
      </c>
      <c r="AF5" s="22">
        <v>0.0</v>
      </c>
      <c r="AG5" s="23" t="s">
        <v>69</v>
      </c>
      <c r="AH5" s="24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27">
        <v>0.0</v>
      </c>
      <c r="AP5" s="23" t="s">
        <v>69</v>
      </c>
      <c r="AQ5" s="23" t="s">
        <v>69</v>
      </c>
      <c r="AR5" s="23" t="s">
        <v>69</v>
      </c>
      <c r="AS5" s="23" t="s">
        <v>69</v>
      </c>
      <c r="AT5" s="23" t="s">
        <v>69</v>
      </c>
      <c r="AU5" s="23" t="s">
        <v>69</v>
      </c>
      <c r="AV5" s="23" t="s">
        <v>69</v>
      </c>
      <c r="AW5" s="23" t="s">
        <v>69</v>
      </c>
      <c r="AX5" s="23" t="s">
        <v>69</v>
      </c>
      <c r="AY5" s="23" t="s">
        <v>69</v>
      </c>
      <c r="AZ5" s="23" t="s">
        <v>69</v>
      </c>
      <c r="BA5" s="23" t="s">
        <v>69</v>
      </c>
      <c r="BB5" s="23" t="s">
        <v>69</v>
      </c>
      <c r="BC5" s="47">
        <v>0.0</v>
      </c>
      <c r="BD5" s="48" t="s">
        <v>118</v>
      </c>
      <c r="BE5" s="49">
        <v>1.0</v>
      </c>
      <c r="BF5" s="50">
        <v>10.0</v>
      </c>
      <c r="BG5" s="51" t="s">
        <v>72</v>
      </c>
      <c r="BH5" s="52">
        <v>0.0</v>
      </c>
      <c r="BI5" s="229" t="s">
        <v>239</v>
      </c>
      <c r="BJ5" s="67">
        <v>80.0</v>
      </c>
      <c r="BK5" s="68">
        <v>35.0</v>
      </c>
      <c r="BL5" s="227" t="s">
        <v>69</v>
      </c>
      <c r="BM5" s="56">
        <v>119990.0</v>
      </c>
      <c r="BN5" s="57"/>
      <c r="BO5" s="68"/>
      <c r="BP5" s="57"/>
      <c r="BQ5" s="68"/>
      <c r="BR5" s="68"/>
      <c r="BS5" s="68"/>
      <c r="BT5" s="68"/>
      <c r="BU5" s="68"/>
      <c r="BV5" s="57"/>
      <c r="BW5" s="67"/>
      <c r="BX5" s="68"/>
      <c r="BY5" s="68"/>
      <c r="BZ5" s="69"/>
      <c r="CA5" s="228"/>
      <c r="CB5" s="70"/>
      <c r="CC5" s="70"/>
      <c r="CD5" s="70"/>
      <c r="CE5" s="70">
        <v>162759.0</v>
      </c>
      <c r="CF5" s="70"/>
      <c r="CG5" s="70"/>
      <c r="CH5" s="70"/>
      <c r="CI5" s="70"/>
      <c r="CJ5" s="70"/>
      <c r="CK5" s="71"/>
    </row>
    <row r="6" ht="14.25" customHeight="1">
      <c r="A6" s="11" t="s">
        <v>240</v>
      </c>
      <c r="D6" s="39"/>
      <c r="E6" s="13"/>
      <c r="F6" s="42"/>
      <c r="G6" s="73"/>
      <c r="H6" s="5"/>
      <c r="I6" s="226" t="s">
        <v>241</v>
      </c>
      <c r="J6" s="42" t="s">
        <v>121</v>
      </c>
      <c r="K6" s="13" t="s">
        <v>115</v>
      </c>
      <c r="L6" s="11" t="s">
        <v>123</v>
      </c>
      <c r="M6" s="5" t="s">
        <v>62</v>
      </c>
      <c r="N6" s="13" t="s">
        <v>63</v>
      </c>
      <c r="O6" s="15">
        <v>8000.0</v>
      </c>
      <c r="P6" s="5" t="s">
        <v>64</v>
      </c>
      <c r="Q6" s="39" t="s">
        <v>85</v>
      </c>
      <c r="R6" s="74" t="s">
        <v>69</v>
      </c>
      <c r="S6" s="5">
        <v>0.06713</v>
      </c>
      <c r="T6" s="16" t="s">
        <v>66</v>
      </c>
      <c r="U6" s="75">
        <v>2.01</v>
      </c>
      <c r="V6" s="18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5">
        <v>83.07</v>
      </c>
      <c r="AB6" s="21">
        <v>25.0</v>
      </c>
      <c r="AC6" s="5">
        <v>2.5</v>
      </c>
      <c r="AD6" s="5">
        <v>6.0</v>
      </c>
      <c r="AE6" s="19">
        <v>7.8</v>
      </c>
      <c r="AF6" s="22">
        <v>0.0</v>
      </c>
      <c r="AG6" s="23" t="s">
        <v>69</v>
      </c>
      <c r="AH6" s="24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27">
        <v>0.0</v>
      </c>
      <c r="AP6" s="23" t="s">
        <v>69</v>
      </c>
      <c r="AQ6" s="23" t="s">
        <v>69</v>
      </c>
      <c r="AR6" s="23" t="s">
        <v>69</v>
      </c>
      <c r="AS6" s="23" t="s">
        <v>69</v>
      </c>
      <c r="AT6" s="23" t="s">
        <v>69</v>
      </c>
      <c r="AU6" s="23" t="s">
        <v>69</v>
      </c>
      <c r="AV6" s="23" t="s">
        <v>69</v>
      </c>
      <c r="AW6" s="23" t="s">
        <v>69</v>
      </c>
      <c r="AX6" s="23" t="s">
        <v>69</v>
      </c>
      <c r="AY6" s="23" t="s">
        <v>69</v>
      </c>
      <c r="AZ6" s="23" t="s">
        <v>69</v>
      </c>
      <c r="BA6" s="23" t="s">
        <v>69</v>
      </c>
      <c r="BB6" s="23" t="s">
        <v>69</v>
      </c>
      <c r="BC6" s="47">
        <v>0.0</v>
      </c>
      <c r="BD6" s="77" t="s">
        <v>118</v>
      </c>
      <c r="BE6" s="49">
        <v>1.0</v>
      </c>
      <c r="BF6" s="50">
        <v>10.0</v>
      </c>
      <c r="BG6" s="51" t="s">
        <v>72</v>
      </c>
      <c r="BH6" s="52">
        <v>0.0</v>
      </c>
      <c r="BI6" s="226" t="s">
        <v>242</v>
      </c>
      <c r="BJ6" s="67">
        <v>71.0</v>
      </c>
      <c r="BK6" s="68">
        <v>35.0</v>
      </c>
      <c r="BL6" s="227" t="s">
        <v>69</v>
      </c>
      <c r="BM6" s="56">
        <v>-80230.0</v>
      </c>
      <c r="BN6" s="65"/>
      <c r="BO6" s="68"/>
      <c r="BP6" s="57"/>
      <c r="BQ6" s="68"/>
      <c r="BR6" s="68"/>
      <c r="BS6" s="68"/>
      <c r="BT6" s="68"/>
      <c r="BU6" s="68"/>
      <c r="BV6" s="78"/>
      <c r="BW6" s="67"/>
      <c r="BX6" s="68"/>
      <c r="BY6" s="68"/>
      <c r="BZ6" s="79"/>
      <c r="CA6" s="230"/>
      <c r="CB6" s="72"/>
      <c r="CC6" s="72"/>
      <c r="CD6" s="70"/>
      <c r="CE6" s="72">
        <v>759711.0</v>
      </c>
      <c r="CF6" s="70"/>
      <c r="CG6" s="70"/>
      <c r="CH6" s="70"/>
      <c r="CI6" s="70"/>
      <c r="CJ6" s="70"/>
      <c r="CK6" s="80"/>
    </row>
    <row r="7" ht="14.25" customHeight="1">
      <c r="A7" s="11" t="s">
        <v>243</v>
      </c>
      <c r="B7" s="81"/>
      <c r="C7" s="81"/>
      <c r="D7" s="82"/>
      <c r="E7" s="83"/>
      <c r="F7" s="84"/>
      <c r="G7" s="81"/>
      <c r="H7" s="85"/>
      <c r="I7" s="125" t="s">
        <v>244</v>
      </c>
      <c r="J7" s="42" t="s">
        <v>121</v>
      </c>
      <c r="K7" s="83" t="s">
        <v>115</v>
      </c>
      <c r="L7" s="11" t="s">
        <v>124</v>
      </c>
      <c r="M7" s="81" t="s">
        <v>62</v>
      </c>
      <c r="N7" s="83" t="s">
        <v>63</v>
      </c>
      <c r="O7" s="87">
        <v>8000.0</v>
      </c>
      <c r="P7" s="5" t="s">
        <v>64</v>
      </c>
      <c r="Q7" s="82" t="s">
        <v>85</v>
      </c>
      <c r="R7" s="88" t="s">
        <v>69</v>
      </c>
      <c r="S7" s="81">
        <v>0.06713</v>
      </c>
      <c r="T7" s="89" t="s">
        <v>66</v>
      </c>
      <c r="U7" s="90">
        <v>2.01</v>
      </c>
      <c r="V7" s="91" t="s">
        <v>67</v>
      </c>
      <c r="W7" s="92">
        <v>2024.0</v>
      </c>
      <c r="X7" s="93" t="s">
        <v>68</v>
      </c>
      <c r="Y7" s="81">
        <v>100.0</v>
      </c>
      <c r="Z7" s="92">
        <v>2024.0</v>
      </c>
      <c r="AA7" s="81">
        <v>83.07</v>
      </c>
      <c r="AB7" s="94">
        <v>10.0</v>
      </c>
      <c r="AC7" s="81">
        <v>2.5</v>
      </c>
      <c r="AD7" s="81">
        <v>6.0</v>
      </c>
      <c r="AE7" s="92">
        <v>7.8</v>
      </c>
      <c r="AF7" s="95">
        <v>0.0</v>
      </c>
      <c r="AG7" s="96" t="s">
        <v>69</v>
      </c>
      <c r="AH7" s="97" t="s">
        <v>70</v>
      </c>
      <c r="AI7" s="98">
        <v>0.0</v>
      </c>
      <c r="AJ7" s="95" t="s">
        <v>71</v>
      </c>
      <c r="AK7" s="95">
        <v>335.4</v>
      </c>
      <c r="AL7" s="95">
        <v>10.7</v>
      </c>
      <c r="AM7" s="95">
        <v>0.0</v>
      </c>
      <c r="AN7" s="99" t="s">
        <v>72</v>
      </c>
      <c r="AO7" s="100">
        <v>0.0</v>
      </c>
      <c r="AP7" s="96" t="s">
        <v>69</v>
      </c>
      <c r="AQ7" s="96" t="s">
        <v>69</v>
      </c>
      <c r="AR7" s="96" t="s">
        <v>69</v>
      </c>
      <c r="AS7" s="96" t="s">
        <v>69</v>
      </c>
      <c r="AT7" s="96" t="s">
        <v>69</v>
      </c>
      <c r="AU7" s="96" t="s">
        <v>69</v>
      </c>
      <c r="AV7" s="96" t="s">
        <v>69</v>
      </c>
      <c r="AW7" s="96" t="s">
        <v>69</v>
      </c>
      <c r="AX7" s="96" t="s">
        <v>69</v>
      </c>
      <c r="AY7" s="96" t="s">
        <v>69</v>
      </c>
      <c r="AZ7" s="96" t="s">
        <v>69</v>
      </c>
      <c r="BA7" s="96" t="s">
        <v>69</v>
      </c>
      <c r="BB7" s="96" t="s">
        <v>69</v>
      </c>
      <c r="BC7" s="101">
        <v>0.0</v>
      </c>
      <c r="BD7" s="102" t="s">
        <v>118</v>
      </c>
      <c r="BE7" s="103">
        <v>1.0</v>
      </c>
      <c r="BF7" s="104">
        <v>10.0</v>
      </c>
      <c r="BG7" s="105" t="s">
        <v>72</v>
      </c>
      <c r="BH7" s="106">
        <v>0.0</v>
      </c>
      <c r="BI7" s="226" t="s">
        <v>245</v>
      </c>
      <c r="BJ7" s="107">
        <v>80.0</v>
      </c>
      <c r="BK7" s="111">
        <v>35.0</v>
      </c>
      <c r="BL7" s="231" t="s">
        <v>69</v>
      </c>
      <c r="BM7" s="232">
        <v>63373.0</v>
      </c>
      <c r="BN7" s="108"/>
      <c r="BO7" s="111"/>
      <c r="BP7" s="112"/>
      <c r="BQ7" s="111"/>
      <c r="BR7" s="111"/>
      <c r="BS7" s="111"/>
      <c r="BT7" s="111"/>
      <c r="BU7" s="111"/>
      <c r="BV7" s="113"/>
      <c r="BW7" s="114"/>
      <c r="BX7" s="111"/>
      <c r="BY7" s="111"/>
      <c r="BZ7" s="115"/>
      <c r="CA7" s="233"/>
      <c r="CB7" s="116"/>
      <c r="CC7" s="116"/>
      <c r="CD7" s="117"/>
      <c r="CE7" s="116">
        <v>219375.0</v>
      </c>
      <c r="CF7" s="117"/>
      <c r="CG7" s="116"/>
      <c r="CH7" s="116"/>
      <c r="CI7" s="117"/>
      <c r="CJ7" s="116"/>
      <c r="CK7" s="118"/>
    </row>
    <row r="8" ht="14.25" customHeight="1">
      <c r="BG8" s="13"/>
      <c r="BH8" s="13"/>
    </row>
    <row r="9" ht="14.25" customHeight="1">
      <c r="A9" s="119" t="s">
        <v>125</v>
      </c>
      <c r="BG9" s="13"/>
      <c r="BH9" s="13"/>
    </row>
    <row r="10" ht="14.25" customHeight="1">
      <c r="A10" s="119"/>
      <c r="BG10" s="13"/>
      <c r="BH10" s="13"/>
    </row>
    <row r="11" ht="14.25" customHeight="1">
      <c r="BG11" s="13"/>
      <c r="BH11" s="13"/>
      <c r="BI11" s="5"/>
    </row>
    <row r="12" ht="14.25" customHeight="1">
      <c r="A12" s="119"/>
      <c r="BG12" s="13"/>
      <c r="BH12" s="13"/>
    </row>
    <row r="13" ht="14.25" customHeight="1">
      <c r="BG13" s="13"/>
      <c r="BH13" s="13"/>
    </row>
    <row r="14" ht="14.25" customHeight="1">
      <c r="BG14" s="13"/>
      <c r="BH14" s="13"/>
    </row>
    <row r="15" ht="14.25" customHeight="1">
      <c r="AS15" s="5"/>
      <c r="AT15" s="5"/>
      <c r="BG15" s="13"/>
      <c r="BH15" s="13"/>
    </row>
    <row r="16" ht="14.25" customHeight="1">
      <c r="BG16" s="13"/>
      <c r="BH16" s="13"/>
    </row>
    <row r="17" ht="14.25" customHeight="1">
      <c r="BG17" s="13"/>
      <c r="BH17" s="13"/>
    </row>
    <row r="18" ht="14.25" customHeight="1">
      <c r="BG18" s="13"/>
      <c r="BH18" s="13"/>
    </row>
    <row r="19" ht="14.25" customHeight="1">
      <c r="BG19" s="13"/>
      <c r="BH19" s="13"/>
    </row>
    <row r="20" ht="14.25" customHeight="1">
      <c r="BG20" s="13"/>
      <c r="BH20" s="13"/>
    </row>
    <row r="21" ht="14.25" customHeight="1">
      <c r="BG21" s="13"/>
      <c r="BH21" s="13"/>
    </row>
    <row r="22" ht="14.25" customHeight="1">
      <c r="BG22" s="13"/>
      <c r="BH22" s="13"/>
    </row>
    <row r="23" ht="14.25" customHeight="1">
      <c r="BG23" s="13"/>
      <c r="BH23" s="13"/>
    </row>
    <row r="24" ht="14.25" customHeight="1">
      <c r="BG24" s="13"/>
      <c r="BH24" s="13"/>
    </row>
    <row r="25" ht="14.25" customHeight="1">
      <c r="BG25" s="13"/>
      <c r="BH25" s="13"/>
    </row>
    <row r="26" ht="14.25" customHeight="1">
      <c r="BG26" s="13"/>
      <c r="BH26" s="13"/>
    </row>
    <row r="27" ht="14.25" customHeight="1">
      <c r="BG27" s="13"/>
      <c r="BH27" s="13"/>
    </row>
    <row r="28" ht="14.25" customHeight="1">
      <c r="BG28" s="13"/>
      <c r="BH28" s="13"/>
    </row>
    <row r="29" ht="14.25" customHeight="1">
      <c r="BG29" s="13"/>
      <c r="BH29" s="13"/>
    </row>
    <row r="30" ht="14.25" customHeight="1">
      <c r="BG30" s="13"/>
      <c r="BH30" s="13"/>
    </row>
    <row r="31" ht="14.25" customHeight="1">
      <c r="BG31" s="13"/>
      <c r="BH31" s="13"/>
    </row>
    <row r="32" ht="14.25" customHeight="1">
      <c r="BG32" s="13"/>
      <c r="BH32" s="13"/>
    </row>
    <row r="33" ht="14.25" customHeight="1">
      <c r="BG33" s="13"/>
      <c r="BH33" s="13"/>
    </row>
    <row r="34" ht="14.25" customHeight="1">
      <c r="BG34" s="13"/>
      <c r="BH34" s="13"/>
    </row>
    <row r="35" ht="14.25" customHeight="1">
      <c r="BG35" s="13"/>
      <c r="BH35" s="13"/>
    </row>
    <row r="36" ht="14.25" customHeight="1">
      <c r="BG36" s="13"/>
      <c r="BH36" s="13"/>
    </row>
    <row r="37" ht="14.25" customHeight="1">
      <c r="BG37" s="13"/>
      <c r="BH37" s="13"/>
    </row>
    <row r="38" ht="14.25" customHeight="1">
      <c r="BG38" s="13"/>
      <c r="BH38" s="13"/>
    </row>
    <row r="39" ht="14.25" customHeight="1">
      <c r="BG39" s="13"/>
      <c r="BH39" s="13"/>
    </row>
    <row r="40" ht="14.25" customHeight="1">
      <c r="BG40" s="13"/>
      <c r="BH40" s="13"/>
    </row>
    <row r="41" ht="14.25" customHeight="1">
      <c r="BG41" s="13"/>
      <c r="BH41" s="13"/>
    </row>
    <row r="42" ht="14.25" customHeight="1">
      <c r="BG42" s="13"/>
      <c r="BH42" s="13"/>
    </row>
    <row r="43" ht="14.25" customHeight="1">
      <c r="BG43" s="13"/>
      <c r="BH43" s="13"/>
    </row>
    <row r="44" ht="14.25" customHeight="1">
      <c r="BG44" s="13"/>
      <c r="BH44" s="13"/>
    </row>
    <row r="45" ht="14.25" customHeight="1">
      <c r="BG45" s="13"/>
      <c r="BH45" s="13"/>
    </row>
    <row r="46" ht="14.25" customHeight="1">
      <c r="BG46" s="13"/>
      <c r="BH46" s="13"/>
    </row>
    <row r="47" ht="14.25" customHeight="1">
      <c r="BG47" s="13"/>
      <c r="BH47" s="13"/>
    </row>
    <row r="48" ht="14.25" customHeight="1">
      <c r="BG48" s="13"/>
      <c r="BH48" s="13"/>
    </row>
    <row r="49" ht="14.25" customHeight="1">
      <c r="BG49" s="13"/>
      <c r="BH49" s="13"/>
    </row>
    <row r="50" ht="14.25" customHeight="1">
      <c r="BG50" s="13"/>
      <c r="BH50" s="13"/>
    </row>
    <row r="51" ht="14.25" customHeight="1">
      <c r="BG51" s="13"/>
      <c r="BH51" s="13"/>
    </row>
    <row r="52" ht="14.25" customHeight="1">
      <c r="BG52" s="13"/>
      <c r="BH52" s="13"/>
    </row>
    <row r="53" ht="14.25" customHeight="1">
      <c r="BG53" s="13"/>
      <c r="BH53" s="13"/>
    </row>
    <row r="54" ht="14.25" customHeight="1">
      <c r="BG54" s="13"/>
      <c r="BH54" s="13"/>
    </row>
    <row r="55" ht="14.25" customHeight="1">
      <c r="BG55" s="13"/>
      <c r="BH55" s="13"/>
    </row>
    <row r="56" ht="14.25" customHeight="1">
      <c r="BG56" s="13"/>
      <c r="BH56" s="13"/>
    </row>
    <row r="57" ht="14.25" customHeight="1">
      <c r="BG57" s="13"/>
      <c r="BH57" s="13"/>
    </row>
    <row r="58" ht="14.25" customHeight="1">
      <c r="BG58" s="13"/>
      <c r="BH58" s="13"/>
    </row>
    <row r="59" ht="14.25" customHeight="1">
      <c r="BG59" s="13"/>
      <c r="BH59" s="13"/>
    </row>
    <row r="60" ht="14.25" customHeight="1">
      <c r="BG60" s="13"/>
      <c r="BH60" s="13"/>
    </row>
    <row r="61" ht="14.25" customHeight="1">
      <c r="BG61" s="13"/>
      <c r="BH61" s="13"/>
    </row>
    <row r="62" ht="14.25" customHeight="1">
      <c r="BG62" s="13"/>
      <c r="BH62" s="13"/>
    </row>
    <row r="63" ht="14.25" customHeight="1">
      <c r="BG63" s="13"/>
      <c r="BH63" s="13"/>
    </row>
    <row r="64" ht="14.25" customHeight="1">
      <c r="BG64" s="13"/>
      <c r="BH64" s="13"/>
    </row>
    <row r="65" ht="14.25" customHeight="1">
      <c r="BG65" s="13"/>
      <c r="BH65" s="13"/>
    </row>
    <row r="66" ht="14.25" customHeight="1">
      <c r="BG66" s="13"/>
      <c r="BH66" s="13"/>
    </row>
    <row r="67" ht="14.25" customHeight="1">
      <c r="BG67" s="13"/>
      <c r="BH67" s="13"/>
    </row>
    <row r="68" ht="14.25" customHeight="1">
      <c r="BG68" s="13"/>
      <c r="BH68" s="13"/>
    </row>
    <row r="69" ht="14.25" customHeight="1">
      <c r="BG69" s="13"/>
      <c r="BH69" s="13"/>
    </row>
    <row r="70" ht="14.25" customHeight="1">
      <c r="BG70" s="13"/>
      <c r="BH70" s="13"/>
    </row>
    <row r="71" ht="14.25" customHeight="1">
      <c r="BG71" s="13"/>
      <c r="BH71" s="13"/>
    </row>
    <row r="72" ht="14.25" customHeight="1">
      <c r="BG72" s="13"/>
      <c r="BH72" s="13"/>
    </row>
    <row r="73" ht="14.25" customHeight="1">
      <c r="BG73" s="13"/>
      <c r="BH73" s="13"/>
    </row>
    <row r="74" ht="14.25" customHeight="1">
      <c r="BG74" s="13"/>
      <c r="BH74" s="13"/>
    </row>
    <row r="75" ht="14.25" customHeight="1">
      <c r="BG75" s="13"/>
      <c r="BH75" s="13"/>
    </row>
    <row r="76" ht="14.25" customHeight="1">
      <c r="BG76" s="13"/>
      <c r="BH76" s="13"/>
    </row>
    <row r="77" ht="14.25" customHeight="1">
      <c r="BG77" s="13"/>
      <c r="BH77" s="13"/>
    </row>
    <row r="78" ht="14.25" customHeight="1">
      <c r="BG78" s="13"/>
      <c r="BH78" s="13"/>
    </row>
    <row r="79" ht="14.25" customHeight="1">
      <c r="BG79" s="13"/>
      <c r="BH79" s="13"/>
    </row>
    <row r="80" ht="14.25" customHeight="1">
      <c r="BG80" s="13"/>
      <c r="BH80" s="13"/>
    </row>
    <row r="81" ht="14.25" customHeight="1">
      <c r="BG81" s="13"/>
      <c r="BH81" s="13"/>
    </row>
    <row r="82" ht="14.25" customHeight="1">
      <c r="BG82" s="13"/>
      <c r="BH82" s="13"/>
    </row>
    <row r="83" ht="14.25" customHeight="1">
      <c r="BG83" s="13"/>
      <c r="BH83" s="13"/>
    </row>
    <row r="84" ht="14.25" customHeight="1">
      <c r="BG84" s="13"/>
      <c r="BH84" s="13"/>
    </row>
    <row r="85" ht="14.25" customHeight="1">
      <c r="BG85" s="13"/>
      <c r="BH85" s="13"/>
    </row>
    <row r="86" ht="14.25" customHeight="1">
      <c r="BG86" s="13"/>
      <c r="BH86" s="13"/>
    </row>
    <row r="87" ht="14.25" customHeight="1">
      <c r="BG87" s="13"/>
      <c r="BH87" s="13"/>
    </row>
    <row r="88" ht="14.25" customHeight="1">
      <c r="BG88" s="13"/>
      <c r="BH88" s="13"/>
    </row>
    <row r="89" ht="14.25" customHeight="1">
      <c r="BG89" s="13"/>
      <c r="BH89" s="13"/>
    </row>
    <row r="90" ht="14.25" customHeight="1">
      <c r="BG90" s="13"/>
      <c r="BH90" s="13"/>
    </row>
    <row r="91" ht="14.25" customHeight="1">
      <c r="BG91" s="13"/>
      <c r="BH91" s="13"/>
    </row>
    <row r="92" ht="14.25" customHeight="1">
      <c r="BG92" s="13"/>
      <c r="BH92" s="13"/>
    </row>
    <row r="93" ht="14.25" customHeight="1">
      <c r="BG93" s="13"/>
      <c r="BH93" s="13"/>
    </row>
    <row r="94" ht="14.25" customHeight="1">
      <c r="BG94" s="13"/>
      <c r="BH94" s="13"/>
    </row>
    <row r="95" ht="14.25" customHeight="1">
      <c r="BG95" s="13"/>
      <c r="BH95" s="13"/>
    </row>
    <row r="96" ht="14.25" customHeight="1">
      <c r="BG96" s="13"/>
      <c r="BH96" s="13"/>
    </row>
    <row r="97" ht="14.25" customHeight="1">
      <c r="BG97" s="13"/>
      <c r="BH97" s="13"/>
    </row>
    <row r="98" ht="14.25" customHeight="1">
      <c r="BG98" s="13"/>
      <c r="BH98" s="13"/>
    </row>
    <row r="99" ht="14.25" customHeight="1">
      <c r="BG99" s="13"/>
      <c r="BH99" s="13"/>
    </row>
    <row r="100" ht="14.25" customHeight="1">
      <c r="BG100" s="13"/>
      <c r="BH100" s="13"/>
    </row>
    <row r="101" ht="14.25" customHeight="1">
      <c r="BG101" s="13"/>
      <c r="BH101" s="13"/>
    </row>
    <row r="102" ht="14.25" customHeight="1">
      <c r="BG102" s="13"/>
      <c r="BH102" s="13"/>
    </row>
    <row r="103" ht="14.25" customHeight="1">
      <c r="BG103" s="13"/>
      <c r="BH103" s="13"/>
    </row>
    <row r="104" ht="14.25" customHeight="1">
      <c r="BG104" s="13"/>
      <c r="BH104" s="13"/>
    </row>
    <row r="105" ht="14.25" customHeight="1">
      <c r="BG105" s="13"/>
      <c r="BH105" s="13"/>
    </row>
    <row r="106" ht="14.25" customHeight="1">
      <c r="BG106" s="13"/>
      <c r="BH106" s="13"/>
    </row>
    <row r="107" ht="14.25" customHeight="1">
      <c r="BG107" s="13"/>
      <c r="BH107" s="13"/>
    </row>
    <row r="108" ht="14.25" customHeight="1">
      <c r="BG108" s="13"/>
      <c r="BH108" s="13"/>
    </row>
    <row r="109" ht="14.25" customHeight="1">
      <c r="BG109" s="13"/>
      <c r="BH109" s="13"/>
    </row>
    <row r="110" ht="14.25" customHeight="1">
      <c r="BG110" s="13"/>
      <c r="BH110" s="13"/>
    </row>
    <row r="111" ht="14.25" customHeight="1">
      <c r="BG111" s="13"/>
      <c r="BH111" s="13"/>
    </row>
    <row r="112" ht="14.25" customHeight="1">
      <c r="BG112" s="13"/>
      <c r="BH112" s="13"/>
    </row>
    <row r="113" ht="14.25" customHeight="1">
      <c r="BG113" s="13"/>
      <c r="BH113" s="13"/>
    </row>
    <row r="114" ht="14.25" customHeight="1">
      <c r="BG114" s="13"/>
      <c r="BH114" s="13"/>
    </row>
    <row r="115" ht="14.25" customHeight="1">
      <c r="BG115" s="13"/>
      <c r="BH115" s="13"/>
    </row>
    <row r="116" ht="14.25" customHeight="1">
      <c r="BG116" s="13"/>
      <c r="BH116" s="13"/>
    </row>
    <row r="117" ht="14.25" customHeight="1">
      <c r="BG117" s="13"/>
      <c r="BH117" s="13"/>
    </row>
    <row r="118" ht="14.25" customHeight="1">
      <c r="BG118" s="13"/>
      <c r="BH118" s="13"/>
    </row>
    <row r="119" ht="14.25" customHeight="1">
      <c r="BG119" s="13"/>
      <c r="BH119" s="13"/>
    </row>
    <row r="120" ht="14.25" customHeight="1">
      <c r="BG120" s="13"/>
      <c r="BH120" s="13"/>
    </row>
    <row r="121" ht="14.25" customHeight="1">
      <c r="BG121" s="13"/>
      <c r="BH121" s="13"/>
    </row>
    <row r="122" ht="14.25" customHeight="1">
      <c r="BG122" s="13"/>
      <c r="BH122" s="13"/>
    </row>
    <row r="123" ht="14.25" customHeight="1">
      <c r="BG123" s="13"/>
      <c r="BH123" s="13"/>
    </row>
    <row r="124" ht="14.25" customHeight="1">
      <c r="BG124" s="13"/>
      <c r="BH124" s="13"/>
    </row>
    <row r="125" ht="14.25" customHeight="1">
      <c r="BG125" s="13"/>
      <c r="BH125" s="13"/>
    </row>
    <row r="126" ht="14.25" customHeight="1">
      <c r="BG126" s="13"/>
      <c r="BH126" s="13"/>
    </row>
    <row r="127" ht="14.25" customHeight="1">
      <c r="BG127" s="13"/>
      <c r="BH127" s="13"/>
    </row>
    <row r="128" ht="14.25" customHeight="1">
      <c r="BG128" s="13"/>
      <c r="BH128" s="13"/>
    </row>
    <row r="129" ht="14.25" customHeight="1">
      <c r="BG129" s="13"/>
      <c r="BH129" s="13"/>
    </row>
    <row r="130" ht="14.25" customHeight="1">
      <c r="BG130" s="13"/>
      <c r="BH130" s="13"/>
    </row>
    <row r="131" ht="14.25" customHeight="1">
      <c r="BG131" s="13"/>
      <c r="BH131" s="13"/>
    </row>
    <row r="132" ht="14.25" customHeight="1">
      <c r="BG132" s="13"/>
      <c r="BH132" s="13"/>
    </row>
    <row r="133" ht="14.25" customHeight="1">
      <c r="BG133" s="13"/>
      <c r="BH133" s="13"/>
    </row>
    <row r="134" ht="14.25" customHeight="1">
      <c r="BG134" s="13"/>
      <c r="BH134" s="13"/>
    </row>
    <row r="135" ht="14.25" customHeight="1">
      <c r="BG135" s="13"/>
      <c r="BH135" s="13"/>
    </row>
    <row r="136" ht="14.25" customHeight="1">
      <c r="BG136" s="13"/>
      <c r="BH136" s="13"/>
    </row>
    <row r="137" ht="14.25" customHeight="1">
      <c r="BG137" s="13"/>
      <c r="BH137" s="13"/>
    </row>
    <row r="138" ht="14.25" customHeight="1">
      <c r="BG138" s="13"/>
      <c r="BH138" s="13"/>
    </row>
    <row r="139" ht="14.25" customHeight="1">
      <c r="BG139" s="13"/>
      <c r="BH139" s="13"/>
    </row>
    <row r="140" ht="14.25" customHeight="1">
      <c r="BG140" s="13"/>
      <c r="BH140" s="13"/>
    </row>
    <row r="141" ht="14.25" customHeight="1">
      <c r="BG141" s="13"/>
      <c r="BH141" s="13"/>
    </row>
    <row r="142" ht="14.25" customHeight="1">
      <c r="BG142" s="13"/>
      <c r="BH142" s="13"/>
    </row>
    <row r="143" ht="14.25" customHeight="1">
      <c r="BG143" s="13"/>
      <c r="BH143" s="13"/>
    </row>
    <row r="144" ht="14.25" customHeight="1">
      <c r="BG144" s="13"/>
      <c r="BH144" s="13"/>
    </row>
    <row r="145" ht="14.25" customHeight="1">
      <c r="BG145" s="13"/>
      <c r="BH145" s="13"/>
    </row>
    <row r="146" ht="14.25" customHeight="1">
      <c r="BG146" s="13"/>
      <c r="BH146" s="13"/>
    </row>
    <row r="147" ht="14.25" customHeight="1">
      <c r="BG147" s="13"/>
      <c r="BH147" s="13"/>
    </row>
    <row r="148" ht="14.25" customHeight="1">
      <c r="BG148" s="13"/>
      <c r="BH148" s="13"/>
    </row>
    <row r="149" ht="14.25" customHeight="1">
      <c r="BG149" s="13"/>
      <c r="BH149" s="13"/>
    </row>
    <row r="150" ht="14.25" customHeight="1">
      <c r="BG150" s="13"/>
      <c r="BH150" s="13"/>
    </row>
    <row r="151" ht="14.25" customHeight="1">
      <c r="BG151" s="13"/>
      <c r="BH151" s="13"/>
    </row>
    <row r="152" ht="14.25" customHeight="1">
      <c r="BG152" s="13"/>
      <c r="BH152" s="13"/>
    </row>
    <row r="153" ht="14.25" customHeight="1">
      <c r="BG153" s="13"/>
      <c r="BH153" s="13"/>
    </row>
    <row r="154" ht="14.25" customHeight="1">
      <c r="BG154" s="13"/>
      <c r="BH154" s="13"/>
    </row>
    <row r="155" ht="14.25" customHeight="1">
      <c r="BG155" s="13"/>
      <c r="BH155" s="13"/>
    </row>
    <row r="156" ht="14.25" customHeight="1">
      <c r="BG156" s="13"/>
      <c r="BH156" s="13"/>
    </row>
    <row r="157" ht="14.25" customHeight="1">
      <c r="BG157" s="13"/>
      <c r="BH157" s="13"/>
    </row>
    <row r="158" ht="14.25" customHeight="1">
      <c r="BG158" s="13"/>
      <c r="BH158" s="13"/>
    </row>
    <row r="159" ht="14.25" customHeight="1">
      <c r="BG159" s="13"/>
      <c r="BH159" s="13"/>
    </row>
    <row r="160" ht="14.25" customHeight="1">
      <c r="BG160" s="13"/>
      <c r="BH160" s="13"/>
    </row>
    <row r="161" ht="14.25" customHeight="1">
      <c r="BG161" s="13"/>
      <c r="BH161" s="13"/>
    </row>
    <row r="162" ht="14.25" customHeight="1">
      <c r="BG162" s="13"/>
      <c r="BH162" s="13"/>
    </row>
    <row r="163" ht="14.25" customHeight="1">
      <c r="BG163" s="13"/>
      <c r="BH163" s="13"/>
    </row>
    <row r="164" ht="14.25" customHeight="1">
      <c r="BG164" s="13"/>
      <c r="BH164" s="13"/>
    </row>
    <row r="165" ht="14.25" customHeight="1">
      <c r="BG165" s="13"/>
      <c r="BH165" s="13"/>
    </row>
    <row r="166" ht="14.25" customHeight="1">
      <c r="BG166" s="13"/>
      <c r="BH166" s="13"/>
    </row>
    <row r="167" ht="14.25" customHeight="1">
      <c r="BG167" s="13"/>
      <c r="BH167" s="13"/>
    </row>
    <row r="168" ht="14.25" customHeight="1">
      <c r="BG168" s="13"/>
      <c r="BH168" s="13"/>
    </row>
    <row r="169" ht="14.25" customHeight="1">
      <c r="BG169" s="13"/>
      <c r="BH169" s="13"/>
    </row>
    <row r="170" ht="14.25" customHeight="1">
      <c r="BG170" s="13"/>
      <c r="BH170" s="13"/>
    </row>
    <row r="171" ht="14.25" customHeight="1">
      <c r="BG171" s="13"/>
      <c r="BH171" s="13"/>
    </row>
    <row r="172" ht="14.25" customHeight="1">
      <c r="BG172" s="13"/>
      <c r="BH172" s="13"/>
    </row>
    <row r="173" ht="14.25" customHeight="1">
      <c r="BG173" s="13"/>
      <c r="BH173" s="13"/>
    </row>
    <row r="174" ht="14.25" customHeight="1">
      <c r="BG174" s="13"/>
      <c r="BH174" s="13"/>
    </row>
    <row r="175" ht="14.25" customHeight="1">
      <c r="BG175" s="13"/>
      <c r="BH175" s="13"/>
    </row>
    <row r="176" ht="14.25" customHeight="1">
      <c r="BG176" s="13"/>
      <c r="BH176" s="13"/>
    </row>
    <row r="177" ht="14.25" customHeight="1">
      <c r="BG177" s="13"/>
      <c r="BH177" s="13"/>
    </row>
    <row r="178" ht="14.25" customHeight="1">
      <c r="BG178" s="13"/>
      <c r="BH178" s="13"/>
    </row>
    <row r="179" ht="14.25" customHeight="1">
      <c r="BG179" s="13"/>
      <c r="BH179" s="13"/>
    </row>
    <row r="180" ht="14.25" customHeight="1">
      <c r="BG180" s="13"/>
      <c r="BH180" s="13"/>
    </row>
    <row r="181" ht="14.25" customHeight="1">
      <c r="BG181" s="13"/>
      <c r="BH181" s="13"/>
    </row>
    <row r="182" ht="14.25" customHeight="1">
      <c r="BG182" s="13"/>
      <c r="BH182" s="13"/>
    </row>
    <row r="183" ht="14.25" customHeight="1">
      <c r="BG183" s="13"/>
      <c r="BH183" s="13"/>
    </row>
    <row r="184" ht="14.25" customHeight="1">
      <c r="BG184" s="13"/>
      <c r="BH184" s="13"/>
    </row>
    <row r="185" ht="14.25" customHeight="1">
      <c r="BG185" s="13"/>
      <c r="BH185" s="13"/>
    </row>
    <row r="186" ht="14.25" customHeight="1">
      <c r="BG186" s="13"/>
      <c r="BH186" s="13"/>
    </row>
    <row r="187" ht="14.25" customHeight="1">
      <c r="BG187" s="13"/>
      <c r="BH187" s="13"/>
    </row>
    <row r="188" ht="14.25" customHeight="1">
      <c r="BG188" s="13"/>
      <c r="BH188" s="13"/>
    </row>
    <row r="189" ht="14.25" customHeight="1">
      <c r="BG189" s="13"/>
      <c r="BH189" s="13"/>
    </row>
    <row r="190" ht="14.25" customHeight="1">
      <c r="BG190" s="13"/>
      <c r="BH190" s="13"/>
    </row>
    <row r="191" ht="14.25" customHeight="1">
      <c r="BG191" s="13"/>
      <c r="BH191" s="13"/>
    </row>
    <row r="192" ht="14.25" customHeight="1">
      <c r="BG192" s="13"/>
      <c r="BH192" s="13"/>
    </row>
    <row r="193" ht="14.25" customHeight="1">
      <c r="BG193" s="13"/>
      <c r="BH193" s="13"/>
    </row>
    <row r="194" ht="14.25" customHeight="1">
      <c r="BG194" s="13"/>
      <c r="BH194" s="13"/>
    </row>
    <row r="195" ht="14.25" customHeight="1">
      <c r="BG195" s="13"/>
      <c r="BH195" s="13"/>
    </row>
    <row r="196" ht="14.25" customHeight="1">
      <c r="BG196" s="13"/>
      <c r="BH196" s="13"/>
    </row>
    <row r="197" ht="14.25" customHeight="1">
      <c r="BG197" s="13"/>
      <c r="BH197" s="13"/>
    </row>
    <row r="198" ht="14.25" customHeight="1">
      <c r="BG198" s="13"/>
      <c r="BH198" s="13"/>
    </row>
    <row r="199" ht="14.25" customHeight="1">
      <c r="BG199" s="13"/>
      <c r="BH199" s="13"/>
    </row>
    <row r="200" ht="14.25" customHeight="1">
      <c r="BG200" s="13"/>
      <c r="BH200" s="13"/>
    </row>
    <row r="201" ht="14.25" customHeight="1">
      <c r="BG201" s="13"/>
      <c r="BH201" s="13"/>
    </row>
    <row r="202" ht="14.25" customHeight="1">
      <c r="BG202" s="13"/>
      <c r="BH202" s="13"/>
    </row>
    <row r="203" ht="14.25" customHeight="1">
      <c r="BG203" s="13"/>
      <c r="BH203" s="13"/>
    </row>
    <row r="204" ht="14.25" customHeight="1">
      <c r="BG204" s="13"/>
      <c r="BH204" s="13"/>
    </row>
    <row r="205" ht="14.25" customHeight="1">
      <c r="BG205" s="13"/>
      <c r="BH205" s="13"/>
    </row>
    <row r="206" ht="14.25" customHeight="1">
      <c r="BG206" s="13"/>
      <c r="BH206" s="13"/>
    </row>
    <row r="207" ht="14.25" customHeight="1">
      <c r="BG207" s="13"/>
      <c r="BH207" s="13"/>
    </row>
    <row r="208" ht="14.25" customHeight="1">
      <c r="BG208" s="13"/>
      <c r="BH208" s="13"/>
    </row>
    <row r="209" ht="14.25" customHeight="1">
      <c r="BG209" s="13"/>
      <c r="BH209" s="13"/>
    </row>
    <row r="210" ht="14.25" customHeight="1">
      <c r="BG210" s="13"/>
      <c r="BH210" s="13"/>
    </row>
    <row r="211" ht="14.25" customHeight="1">
      <c r="BG211" s="13"/>
      <c r="BH211" s="13"/>
    </row>
    <row r="212" ht="14.25" customHeight="1">
      <c r="BG212" s="13"/>
      <c r="BH212" s="13"/>
    </row>
    <row r="213" ht="14.25" customHeight="1">
      <c r="BG213" s="13"/>
      <c r="BH213" s="13"/>
    </row>
    <row r="214" ht="14.25" customHeight="1">
      <c r="BG214" s="13"/>
      <c r="BH214" s="13"/>
    </row>
    <row r="215" ht="14.25" customHeight="1">
      <c r="BG215" s="13"/>
      <c r="BH215" s="13"/>
    </row>
    <row r="216" ht="14.25" customHeight="1">
      <c r="BG216" s="13"/>
      <c r="BH216" s="13"/>
    </row>
    <row r="217" ht="14.25" customHeight="1">
      <c r="BG217" s="13"/>
      <c r="BH217" s="13"/>
    </row>
    <row r="218" ht="14.25" customHeight="1">
      <c r="BG218" s="13"/>
      <c r="BH218" s="13"/>
    </row>
    <row r="219" ht="14.25" customHeight="1">
      <c r="BG219" s="13"/>
      <c r="BH219" s="13"/>
    </row>
    <row r="220" ht="14.25" customHeight="1">
      <c r="BG220" s="13"/>
      <c r="BH220" s="13"/>
    </row>
    <row r="221" ht="14.25" customHeight="1">
      <c r="BG221" s="13"/>
      <c r="BH221" s="13"/>
    </row>
    <row r="222" ht="14.25" customHeight="1">
      <c r="BG222" s="13"/>
      <c r="BH222" s="13"/>
    </row>
    <row r="223" ht="14.25" customHeight="1">
      <c r="BG223" s="13"/>
      <c r="BH223" s="13"/>
    </row>
    <row r="224" ht="14.25" customHeight="1">
      <c r="BG224" s="13"/>
      <c r="BH224" s="13"/>
    </row>
    <row r="225" ht="14.25" customHeight="1">
      <c r="BG225" s="13"/>
      <c r="BH225" s="13"/>
    </row>
    <row r="226" ht="14.25" customHeight="1">
      <c r="BG226" s="13"/>
      <c r="BH226" s="13"/>
    </row>
    <row r="227" ht="14.25" customHeight="1">
      <c r="BG227" s="13"/>
      <c r="BH227" s="13"/>
    </row>
    <row r="228" ht="14.25" customHeight="1">
      <c r="BG228" s="13"/>
      <c r="BH228" s="13"/>
    </row>
    <row r="229" ht="14.25" customHeight="1">
      <c r="BG229" s="13"/>
      <c r="BH229" s="13"/>
    </row>
    <row r="230" ht="14.25" customHeight="1">
      <c r="BG230" s="13"/>
      <c r="BH230" s="13"/>
    </row>
    <row r="231" ht="14.25" customHeight="1">
      <c r="BG231" s="13"/>
      <c r="BH231" s="13"/>
    </row>
    <row r="232" ht="14.25" customHeight="1">
      <c r="BG232" s="13"/>
      <c r="BH232" s="13"/>
    </row>
    <row r="233" ht="14.25" customHeight="1">
      <c r="BG233" s="13"/>
      <c r="BH233" s="13"/>
    </row>
    <row r="234" ht="14.25" customHeight="1">
      <c r="BG234" s="13"/>
      <c r="BH234" s="13"/>
    </row>
    <row r="235" ht="14.25" customHeight="1">
      <c r="BG235" s="13"/>
      <c r="BH235" s="13"/>
    </row>
    <row r="236" ht="14.25" customHeight="1">
      <c r="BG236" s="13"/>
      <c r="BH236" s="13"/>
    </row>
    <row r="237" ht="14.25" customHeight="1">
      <c r="BG237" s="13"/>
      <c r="BH237" s="13"/>
    </row>
    <row r="238" ht="14.25" customHeight="1">
      <c r="BG238" s="13"/>
      <c r="BH238" s="13"/>
    </row>
    <row r="239" ht="14.25" customHeight="1">
      <c r="BG239" s="13"/>
      <c r="BH239" s="13"/>
    </row>
    <row r="240" ht="14.25" customHeight="1">
      <c r="BG240" s="13"/>
      <c r="BH240" s="13"/>
    </row>
    <row r="241" ht="14.25" customHeight="1">
      <c r="BG241" s="13"/>
      <c r="BH241" s="13"/>
    </row>
    <row r="242" ht="14.25" customHeight="1">
      <c r="BG242" s="13"/>
      <c r="BH242" s="13"/>
    </row>
    <row r="243" ht="14.25" customHeight="1">
      <c r="BG243" s="13"/>
      <c r="BH243" s="13"/>
    </row>
    <row r="244" ht="14.25" customHeight="1">
      <c r="BG244" s="13"/>
      <c r="BH244" s="13"/>
    </row>
    <row r="245" ht="14.25" customHeight="1">
      <c r="BG245" s="13"/>
      <c r="BH245" s="13"/>
    </row>
    <row r="246" ht="14.25" customHeight="1">
      <c r="BG246" s="13"/>
      <c r="BH246" s="13"/>
    </row>
    <row r="247" ht="14.25" customHeight="1">
      <c r="BG247" s="13"/>
      <c r="BH247" s="13"/>
    </row>
    <row r="248" ht="14.25" customHeight="1">
      <c r="BG248" s="13"/>
      <c r="BH248" s="13"/>
    </row>
    <row r="249" ht="14.25" customHeight="1">
      <c r="BG249" s="13"/>
      <c r="BH249" s="13"/>
    </row>
    <row r="250" ht="14.25" customHeight="1">
      <c r="BG250" s="13"/>
      <c r="BH250" s="13"/>
    </row>
    <row r="251" ht="14.25" customHeight="1">
      <c r="BG251" s="13"/>
      <c r="BH251" s="13"/>
    </row>
    <row r="252" ht="14.25" customHeight="1">
      <c r="BG252" s="13"/>
      <c r="BH252" s="13"/>
    </row>
    <row r="253" ht="14.25" customHeight="1">
      <c r="BG253" s="13"/>
      <c r="BH253" s="13"/>
    </row>
    <row r="254" ht="14.25" customHeight="1">
      <c r="BG254" s="13"/>
      <c r="BH254" s="13"/>
    </row>
    <row r="255" ht="14.25" customHeight="1">
      <c r="BG255" s="13"/>
      <c r="BH255" s="13"/>
    </row>
    <row r="256" ht="14.25" customHeight="1">
      <c r="BG256" s="13"/>
      <c r="BH256" s="13"/>
    </row>
    <row r="257" ht="14.25" customHeight="1">
      <c r="BG257" s="13"/>
      <c r="BH257" s="13"/>
    </row>
    <row r="258" ht="14.25" customHeight="1">
      <c r="BG258" s="13"/>
      <c r="BH258" s="13"/>
    </row>
    <row r="259" ht="14.25" customHeight="1">
      <c r="BG259" s="13"/>
      <c r="BH259" s="13"/>
    </row>
    <row r="260" ht="14.25" customHeight="1">
      <c r="BG260" s="13"/>
      <c r="BH260" s="13"/>
    </row>
    <row r="261" ht="14.25" customHeight="1">
      <c r="BG261" s="13"/>
      <c r="BH261" s="13"/>
    </row>
    <row r="262" ht="14.25" customHeight="1">
      <c r="BG262" s="13"/>
      <c r="BH262" s="13"/>
    </row>
    <row r="263" ht="14.25" customHeight="1">
      <c r="BG263" s="13"/>
      <c r="BH263" s="13"/>
    </row>
    <row r="264" ht="14.25" customHeight="1">
      <c r="BG264" s="13"/>
      <c r="BH264" s="13"/>
    </row>
    <row r="265" ht="14.25" customHeight="1">
      <c r="BG265" s="13"/>
      <c r="BH265" s="13"/>
    </row>
    <row r="266" ht="14.25" customHeight="1">
      <c r="BG266" s="13"/>
      <c r="BH266" s="13"/>
    </row>
    <row r="267" ht="14.25" customHeight="1">
      <c r="BG267" s="13"/>
      <c r="BH267" s="13"/>
    </row>
    <row r="268" ht="14.25" customHeight="1">
      <c r="BG268" s="13"/>
      <c r="BH268" s="13"/>
    </row>
    <row r="269" ht="14.25" customHeight="1">
      <c r="BG269" s="13"/>
      <c r="BH269" s="13"/>
    </row>
    <row r="270" ht="14.25" customHeight="1">
      <c r="BG270" s="13"/>
      <c r="BH270" s="13"/>
    </row>
    <row r="271" ht="14.25" customHeight="1">
      <c r="BG271" s="13"/>
      <c r="BH271" s="13"/>
    </row>
    <row r="272" ht="14.25" customHeight="1">
      <c r="BG272" s="13"/>
      <c r="BH272" s="13"/>
    </row>
    <row r="273" ht="14.25" customHeight="1">
      <c r="BG273" s="13"/>
      <c r="BH273" s="13"/>
    </row>
    <row r="274" ht="14.25" customHeight="1">
      <c r="BG274" s="13"/>
      <c r="BH274" s="13"/>
    </row>
    <row r="275" ht="14.25" customHeight="1">
      <c r="BG275" s="13"/>
      <c r="BH275" s="13"/>
    </row>
    <row r="276" ht="14.25" customHeight="1">
      <c r="BG276" s="13"/>
      <c r="BH276" s="13"/>
    </row>
    <row r="277" ht="14.25" customHeight="1">
      <c r="BG277" s="13"/>
      <c r="BH277" s="13"/>
    </row>
    <row r="278" ht="14.25" customHeight="1">
      <c r="BG278" s="13"/>
      <c r="BH278" s="13"/>
    </row>
    <row r="279" ht="14.25" customHeight="1">
      <c r="BG279" s="13"/>
      <c r="BH279" s="13"/>
    </row>
    <row r="280" ht="14.25" customHeight="1">
      <c r="BG280" s="13"/>
      <c r="BH280" s="13"/>
    </row>
    <row r="281" ht="14.25" customHeight="1">
      <c r="BG281" s="13"/>
      <c r="BH281" s="13"/>
    </row>
    <row r="282" ht="14.25" customHeight="1">
      <c r="BG282" s="13"/>
      <c r="BH282" s="13"/>
    </row>
    <row r="283" ht="14.25" customHeight="1">
      <c r="BG283" s="13"/>
      <c r="BH283" s="13"/>
    </row>
    <row r="284" ht="14.25" customHeight="1">
      <c r="BG284" s="13"/>
      <c r="BH284" s="13"/>
    </row>
    <row r="285" ht="14.25" customHeight="1">
      <c r="BG285" s="13"/>
      <c r="BH285" s="13"/>
    </row>
    <row r="286" ht="14.25" customHeight="1">
      <c r="BG286" s="13"/>
      <c r="BH286" s="13"/>
    </row>
    <row r="287" ht="14.25" customHeight="1">
      <c r="BG287" s="13"/>
      <c r="BH287" s="13"/>
    </row>
    <row r="288" ht="14.25" customHeight="1">
      <c r="BG288" s="13"/>
      <c r="BH288" s="13"/>
    </row>
    <row r="289" ht="14.25" customHeight="1">
      <c r="BG289" s="13"/>
      <c r="BH289" s="13"/>
    </row>
    <row r="290" ht="14.25" customHeight="1">
      <c r="BG290" s="13"/>
      <c r="BH290" s="13"/>
    </row>
    <row r="291" ht="14.25" customHeight="1">
      <c r="BG291" s="13"/>
      <c r="BH291" s="13"/>
    </row>
    <row r="292" ht="14.25" customHeight="1">
      <c r="BG292" s="13"/>
      <c r="BH292" s="13"/>
    </row>
    <row r="293" ht="14.25" customHeight="1">
      <c r="BG293" s="13"/>
      <c r="BH293" s="13"/>
    </row>
    <row r="294" ht="14.25" customHeight="1">
      <c r="BG294" s="13"/>
      <c r="BH294" s="13"/>
    </row>
    <row r="295" ht="14.25" customHeight="1">
      <c r="BG295" s="13"/>
      <c r="BH295" s="13"/>
    </row>
    <row r="296" ht="14.25" customHeight="1">
      <c r="BG296" s="13"/>
      <c r="BH296" s="13"/>
    </row>
    <row r="297" ht="14.25" customHeight="1">
      <c r="BG297" s="13"/>
      <c r="BH297" s="13"/>
    </row>
    <row r="298" ht="14.25" customHeight="1">
      <c r="BG298" s="13"/>
      <c r="BH298" s="13"/>
    </row>
    <row r="299" ht="14.25" customHeight="1">
      <c r="BG299" s="13"/>
      <c r="BH299" s="13"/>
    </row>
    <row r="300" ht="14.25" customHeight="1">
      <c r="BG300" s="13"/>
      <c r="BH300" s="13"/>
    </row>
    <row r="301" ht="14.25" customHeight="1">
      <c r="BG301" s="13"/>
      <c r="BH301" s="13"/>
    </row>
    <row r="302" ht="14.25" customHeight="1">
      <c r="BG302" s="13"/>
      <c r="BH302" s="13"/>
    </row>
    <row r="303" ht="14.25" customHeight="1">
      <c r="BG303" s="13"/>
      <c r="BH303" s="13"/>
    </row>
    <row r="304" ht="14.25" customHeight="1">
      <c r="BG304" s="13"/>
      <c r="BH304" s="13"/>
    </row>
    <row r="305" ht="14.25" customHeight="1">
      <c r="BG305" s="13"/>
      <c r="BH305" s="13"/>
    </row>
    <row r="306" ht="14.25" customHeight="1">
      <c r="BG306" s="13"/>
      <c r="BH306" s="13"/>
    </row>
    <row r="307" ht="14.25" customHeight="1">
      <c r="BG307" s="13"/>
      <c r="BH307" s="13"/>
    </row>
    <row r="308" ht="14.25" customHeight="1">
      <c r="BG308" s="13"/>
      <c r="BH308" s="13"/>
    </row>
    <row r="309" ht="14.25" customHeight="1">
      <c r="BG309" s="13"/>
      <c r="BH309" s="13"/>
    </row>
    <row r="310" ht="14.25" customHeight="1">
      <c r="BG310" s="13"/>
      <c r="BH310" s="13"/>
    </row>
    <row r="311" ht="14.25" customHeight="1">
      <c r="BG311" s="13"/>
      <c r="BH311" s="13"/>
    </row>
    <row r="312" ht="14.25" customHeight="1">
      <c r="BG312" s="13"/>
      <c r="BH312" s="13"/>
    </row>
    <row r="313" ht="14.25" customHeight="1">
      <c r="BG313" s="13"/>
      <c r="BH313" s="13"/>
    </row>
    <row r="314" ht="14.25" customHeight="1">
      <c r="BG314" s="13"/>
      <c r="BH314" s="13"/>
    </row>
    <row r="315" ht="14.25" customHeight="1">
      <c r="BG315" s="13"/>
      <c r="BH315" s="13"/>
    </row>
    <row r="316" ht="14.25" customHeight="1">
      <c r="BG316" s="13"/>
      <c r="BH316" s="13"/>
    </row>
    <row r="317" ht="14.25" customHeight="1">
      <c r="BG317" s="13"/>
      <c r="BH317" s="13"/>
    </row>
    <row r="318" ht="14.25" customHeight="1">
      <c r="BG318" s="13"/>
      <c r="BH318" s="13"/>
    </row>
    <row r="319" ht="14.25" customHeight="1">
      <c r="BG319" s="13"/>
      <c r="BH319" s="13"/>
    </row>
    <row r="320" ht="14.25" customHeight="1">
      <c r="BG320" s="13"/>
      <c r="BH320" s="13"/>
    </row>
    <row r="321" ht="14.25" customHeight="1">
      <c r="BG321" s="13"/>
      <c r="BH321" s="13"/>
    </row>
    <row r="322" ht="14.25" customHeight="1">
      <c r="BG322" s="13"/>
      <c r="BH322" s="13"/>
    </row>
    <row r="323" ht="14.25" customHeight="1">
      <c r="BG323" s="13"/>
      <c r="BH323" s="13"/>
    </row>
    <row r="324" ht="14.25" customHeight="1">
      <c r="BG324" s="13"/>
      <c r="BH324" s="13"/>
    </row>
    <row r="325" ht="14.25" customHeight="1">
      <c r="BG325" s="13"/>
      <c r="BH325" s="13"/>
    </row>
    <row r="326" ht="14.25" customHeight="1">
      <c r="BG326" s="13"/>
      <c r="BH326" s="13"/>
    </row>
    <row r="327" ht="14.25" customHeight="1">
      <c r="BG327" s="13"/>
      <c r="BH327" s="13"/>
    </row>
    <row r="328" ht="14.25" customHeight="1">
      <c r="BG328" s="13"/>
      <c r="BH328" s="13"/>
    </row>
    <row r="329" ht="14.25" customHeight="1">
      <c r="BG329" s="13"/>
      <c r="BH329" s="13"/>
    </row>
    <row r="330" ht="14.25" customHeight="1">
      <c r="BG330" s="13"/>
      <c r="BH330" s="13"/>
    </row>
    <row r="331" ht="14.25" customHeight="1">
      <c r="BG331" s="13"/>
      <c r="BH331" s="13"/>
    </row>
    <row r="332" ht="14.25" customHeight="1">
      <c r="BG332" s="13"/>
      <c r="BH332" s="13"/>
    </row>
    <row r="333" ht="14.25" customHeight="1">
      <c r="BG333" s="13"/>
      <c r="BH333" s="13"/>
    </row>
    <row r="334" ht="14.25" customHeight="1">
      <c r="BG334" s="13"/>
      <c r="BH334" s="13"/>
    </row>
    <row r="335" ht="14.25" customHeight="1">
      <c r="BG335" s="13"/>
      <c r="BH335" s="13"/>
    </row>
    <row r="336" ht="14.25" customHeight="1">
      <c r="BG336" s="13"/>
      <c r="BH336" s="13"/>
    </row>
    <row r="337" ht="14.25" customHeight="1">
      <c r="BG337" s="13"/>
      <c r="BH337" s="13"/>
    </row>
    <row r="338" ht="14.25" customHeight="1">
      <c r="BG338" s="13"/>
      <c r="BH338" s="13"/>
    </row>
    <row r="339" ht="14.25" customHeight="1">
      <c r="BG339" s="13"/>
      <c r="BH339" s="13"/>
    </row>
    <row r="340" ht="14.25" customHeight="1">
      <c r="BG340" s="13"/>
      <c r="BH340" s="13"/>
    </row>
    <row r="341" ht="14.25" customHeight="1">
      <c r="BG341" s="13"/>
      <c r="BH341" s="13"/>
    </row>
    <row r="342" ht="14.25" customHeight="1">
      <c r="BG342" s="13"/>
      <c r="BH342" s="13"/>
    </row>
    <row r="343" ht="14.25" customHeight="1">
      <c r="BG343" s="13"/>
      <c r="BH343" s="13"/>
    </row>
    <row r="344" ht="14.25" customHeight="1">
      <c r="BG344" s="13"/>
      <c r="BH344" s="13"/>
    </row>
    <row r="345" ht="14.25" customHeight="1">
      <c r="BG345" s="13"/>
      <c r="BH345" s="13"/>
    </row>
    <row r="346" ht="14.25" customHeight="1">
      <c r="BG346" s="13"/>
      <c r="BH346" s="13"/>
    </row>
    <row r="347" ht="14.25" customHeight="1">
      <c r="BG347" s="13"/>
      <c r="BH347" s="13"/>
    </row>
    <row r="348" ht="14.25" customHeight="1">
      <c r="BG348" s="13"/>
      <c r="BH348" s="13"/>
    </row>
    <row r="349" ht="14.25" customHeight="1">
      <c r="BG349" s="13"/>
      <c r="BH349" s="13"/>
    </row>
    <row r="350" ht="14.25" customHeight="1">
      <c r="BG350" s="13"/>
      <c r="BH350" s="13"/>
    </row>
    <row r="351" ht="14.25" customHeight="1">
      <c r="BG351" s="13"/>
      <c r="BH351" s="13"/>
    </row>
    <row r="352" ht="14.25" customHeight="1">
      <c r="BG352" s="13"/>
      <c r="BH352" s="13"/>
    </row>
    <row r="353" ht="14.25" customHeight="1">
      <c r="BG353" s="13"/>
      <c r="BH353" s="13"/>
    </row>
    <row r="354" ht="14.25" customHeight="1">
      <c r="BG354" s="13"/>
      <c r="BH354" s="13"/>
    </row>
    <row r="355" ht="14.25" customHeight="1">
      <c r="BG355" s="13"/>
      <c r="BH355" s="13"/>
    </row>
    <row r="356" ht="14.25" customHeight="1">
      <c r="BG356" s="13"/>
      <c r="BH356" s="13"/>
    </row>
    <row r="357" ht="14.25" customHeight="1">
      <c r="BG357" s="13"/>
      <c r="BH357" s="13"/>
    </row>
    <row r="358" ht="14.25" customHeight="1">
      <c r="BG358" s="13"/>
      <c r="BH358" s="13"/>
    </row>
    <row r="359" ht="14.25" customHeight="1">
      <c r="BG359" s="13"/>
      <c r="BH359" s="13"/>
    </row>
    <row r="360" ht="14.25" customHeight="1">
      <c r="BG360" s="13"/>
      <c r="BH360" s="13"/>
    </row>
    <row r="361" ht="14.25" customHeight="1">
      <c r="BG361" s="13"/>
      <c r="BH361" s="13"/>
    </row>
    <row r="362" ht="14.25" customHeight="1">
      <c r="BG362" s="13"/>
      <c r="BH362" s="13"/>
    </row>
    <row r="363" ht="14.25" customHeight="1">
      <c r="BG363" s="13"/>
      <c r="BH363" s="13"/>
    </row>
    <row r="364" ht="14.25" customHeight="1">
      <c r="BG364" s="13"/>
      <c r="BH364" s="13"/>
    </row>
    <row r="365" ht="14.25" customHeight="1">
      <c r="BG365" s="13"/>
      <c r="BH365" s="13"/>
    </row>
    <row r="366" ht="14.25" customHeight="1">
      <c r="BG366" s="13"/>
      <c r="BH366" s="13"/>
    </row>
    <row r="367" ht="14.25" customHeight="1">
      <c r="BG367" s="13"/>
      <c r="BH367" s="13"/>
    </row>
    <row r="368" ht="14.25" customHeight="1">
      <c r="BG368" s="13"/>
      <c r="BH368" s="13"/>
    </row>
    <row r="369" ht="14.25" customHeight="1">
      <c r="BG369" s="13"/>
      <c r="BH369" s="13"/>
    </row>
    <row r="370" ht="14.25" customHeight="1">
      <c r="BG370" s="13"/>
      <c r="BH370" s="13"/>
    </row>
    <row r="371" ht="14.25" customHeight="1">
      <c r="BG371" s="13"/>
      <c r="BH371" s="13"/>
    </row>
    <row r="372" ht="14.25" customHeight="1">
      <c r="BG372" s="13"/>
      <c r="BH372" s="13"/>
    </row>
    <row r="373" ht="14.25" customHeight="1">
      <c r="BG373" s="13"/>
      <c r="BH373" s="13"/>
    </row>
    <row r="374" ht="14.25" customHeight="1">
      <c r="BG374" s="13"/>
      <c r="BH374" s="13"/>
    </row>
    <row r="375" ht="14.25" customHeight="1">
      <c r="BG375" s="13"/>
      <c r="BH375" s="13"/>
    </row>
    <row r="376" ht="14.25" customHeight="1">
      <c r="BG376" s="13"/>
      <c r="BH376" s="13"/>
    </row>
    <row r="377" ht="14.25" customHeight="1">
      <c r="BG377" s="13"/>
      <c r="BH377" s="13"/>
    </row>
    <row r="378" ht="14.25" customHeight="1">
      <c r="BG378" s="13"/>
      <c r="BH378" s="13"/>
    </row>
    <row r="379" ht="14.25" customHeight="1">
      <c r="BG379" s="13"/>
      <c r="BH379" s="13"/>
    </row>
    <row r="380" ht="14.25" customHeight="1">
      <c r="BG380" s="13"/>
      <c r="BH380" s="13"/>
    </row>
    <row r="381" ht="14.25" customHeight="1">
      <c r="BG381" s="13"/>
      <c r="BH381" s="13"/>
    </row>
    <row r="382" ht="14.25" customHeight="1">
      <c r="BG382" s="13"/>
      <c r="BH382" s="13"/>
    </row>
    <row r="383" ht="14.25" customHeight="1">
      <c r="BG383" s="13"/>
      <c r="BH383" s="13"/>
    </row>
    <row r="384" ht="14.25" customHeight="1">
      <c r="BG384" s="13"/>
      <c r="BH384" s="13"/>
    </row>
    <row r="385" ht="14.25" customHeight="1">
      <c r="BG385" s="13"/>
      <c r="BH385" s="13"/>
    </row>
    <row r="386" ht="14.25" customHeight="1">
      <c r="BG386" s="13"/>
      <c r="BH386" s="13"/>
    </row>
    <row r="387" ht="14.25" customHeight="1">
      <c r="BG387" s="13"/>
      <c r="BH387" s="13"/>
    </row>
    <row r="388" ht="14.25" customHeight="1">
      <c r="BG388" s="13"/>
      <c r="BH388" s="13"/>
    </row>
    <row r="389" ht="14.25" customHeight="1">
      <c r="BG389" s="13"/>
      <c r="BH389" s="13"/>
    </row>
    <row r="390" ht="14.25" customHeight="1">
      <c r="BG390" s="13"/>
      <c r="BH390" s="13"/>
    </row>
    <row r="391" ht="14.25" customHeight="1">
      <c r="BG391" s="13"/>
      <c r="BH391" s="13"/>
    </row>
    <row r="392" ht="14.25" customHeight="1">
      <c r="BG392" s="13"/>
      <c r="BH392" s="13"/>
    </row>
    <row r="393" ht="14.25" customHeight="1">
      <c r="BG393" s="13"/>
      <c r="BH393" s="13"/>
    </row>
    <row r="394" ht="14.25" customHeight="1">
      <c r="BG394" s="13"/>
      <c r="BH394" s="13"/>
    </row>
    <row r="395" ht="14.25" customHeight="1">
      <c r="BG395" s="13"/>
      <c r="BH395" s="13"/>
    </row>
    <row r="396" ht="14.25" customHeight="1">
      <c r="BG396" s="13"/>
      <c r="BH396" s="13"/>
    </row>
    <row r="397" ht="14.25" customHeight="1">
      <c r="BG397" s="13"/>
      <c r="BH397" s="13"/>
    </row>
    <row r="398" ht="14.25" customHeight="1">
      <c r="BG398" s="13"/>
      <c r="BH398" s="13"/>
    </row>
    <row r="399" ht="14.25" customHeight="1">
      <c r="BG399" s="13"/>
      <c r="BH399" s="13"/>
    </row>
    <row r="400" ht="14.25" customHeight="1">
      <c r="BG400" s="13"/>
      <c r="BH400" s="13"/>
    </row>
    <row r="401" ht="14.25" customHeight="1">
      <c r="BG401" s="13"/>
      <c r="BH401" s="13"/>
    </row>
    <row r="402" ht="14.25" customHeight="1">
      <c r="BG402" s="13"/>
      <c r="BH402" s="13"/>
    </row>
    <row r="403" ht="14.25" customHeight="1">
      <c r="BG403" s="13"/>
      <c r="BH403" s="13"/>
    </row>
    <row r="404" ht="14.25" customHeight="1">
      <c r="BG404" s="13"/>
      <c r="BH404" s="13"/>
    </row>
    <row r="405" ht="14.25" customHeight="1">
      <c r="BG405" s="13"/>
      <c r="BH405" s="13"/>
    </row>
    <row r="406" ht="14.25" customHeight="1">
      <c r="BG406" s="13"/>
      <c r="BH406" s="13"/>
    </row>
    <row r="407" ht="14.25" customHeight="1">
      <c r="BG407" s="13"/>
      <c r="BH407" s="13"/>
    </row>
    <row r="408" ht="14.25" customHeight="1">
      <c r="BG408" s="13"/>
      <c r="BH408" s="13"/>
    </row>
    <row r="409" ht="14.25" customHeight="1">
      <c r="BG409" s="13"/>
      <c r="BH409" s="13"/>
    </row>
    <row r="410" ht="14.25" customHeight="1">
      <c r="BG410" s="13"/>
      <c r="BH410" s="13"/>
    </row>
    <row r="411" ht="14.25" customHeight="1">
      <c r="BG411" s="13"/>
      <c r="BH411" s="13"/>
    </row>
    <row r="412" ht="14.25" customHeight="1">
      <c r="BG412" s="13"/>
      <c r="BH412" s="13"/>
    </row>
    <row r="413" ht="14.25" customHeight="1">
      <c r="BG413" s="13"/>
      <c r="BH413" s="13"/>
    </row>
    <row r="414" ht="14.25" customHeight="1">
      <c r="BG414" s="13"/>
      <c r="BH414" s="13"/>
    </row>
    <row r="415" ht="14.25" customHeight="1">
      <c r="BG415" s="13"/>
      <c r="BH415" s="13"/>
    </row>
    <row r="416" ht="14.25" customHeight="1">
      <c r="BG416" s="13"/>
      <c r="BH416" s="13"/>
    </row>
    <row r="417" ht="14.25" customHeight="1">
      <c r="BG417" s="13"/>
      <c r="BH417" s="13"/>
    </row>
    <row r="418" ht="14.25" customHeight="1">
      <c r="BG418" s="13"/>
      <c r="BH418" s="13"/>
    </row>
    <row r="419" ht="14.25" customHeight="1">
      <c r="BG419" s="13"/>
      <c r="BH419" s="13"/>
    </row>
    <row r="420" ht="14.25" customHeight="1">
      <c r="BG420" s="13"/>
      <c r="BH420" s="13"/>
    </row>
    <row r="421" ht="14.25" customHeight="1">
      <c r="BG421" s="13"/>
      <c r="BH421" s="13"/>
    </row>
    <row r="422" ht="14.25" customHeight="1">
      <c r="BG422" s="13"/>
      <c r="BH422" s="13"/>
    </row>
    <row r="423" ht="14.25" customHeight="1">
      <c r="BG423" s="13"/>
      <c r="BH423" s="13"/>
    </row>
    <row r="424" ht="14.25" customHeight="1">
      <c r="BG424" s="13"/>
      <c r="BH424" s="13"/>
    </row>
    <row r="425" ht="14.25" customHeight="1">
      <c r="BG425" s="13"/>
      <c r="BH425" s="13"/>
    </row>
    <row r="426" ht="14.25" customHeight="1">
      <c r="BG426" s="13"/>
      <c r="BH426" s="13"/>
    </row>
    <row r="427" ht="14.25" customHeight="1">
      <c r="BG427" s="13"/>
      <c r="BH427" s="13"/>
    </row>
    <row r="428" ht="14.25" customHeight="1">
      <c r="BG428" s="13"/>
      <c r="BH428" s="13"/>
    </row>
    <row r="429" ht="14.25" customHeight="1">
      <c r="BG429" s="13"/>
      <c r="BH429" s="13"/>
    </row>
    <row r="430" ht="14.25" customHeight="1">
      <c r="BG430" s="13"/>
      <c r="BH430" s="13"/>
    </row>
    <row r="431" ht="14.25" customHeight="1">
      <c r="BG431" s="13"/>
      <c r="BH431" s="13"/>
    </row>
    <row r="432" ht="14.25" customHeight="1">
      <c r="BG432" s="13"/>
      <c r="BH432" s="13"/>
    </row>
    <row r="433" ht="14.25" customHeight="1">
      <c r="BG433" s="13"/>
      <c r="BH433" s="13"/>
    </row>
    <row r="434" ht="14.25" customHeight="1">
      <c r="BG434" s="13"/>
      <c r="BH434" s="13"/>
    </row>
    <row r="435" ht="14.25" customHeight="1">
      <c r="BG435" s="13"/>
      <c r="BH435" s="13"/>
    </row>
    <row r="436" ht="14.25" customHeight="1">
      <c r="BG436" s="13"/>
      <c r="BH436" s="13"/>
    </row>
    <row r="437" ht="14.25" customHeight="1">
      <c r="BG437" s="13"/>
      <c r="BH437" s="13"/>
    </row>
    <row r="438" ht="14.25" customHeight="1">
      <c r="BG438" s="13"/>
      <c r="BH438" s="13"/>
    </row>
    <row r="439" ht="14.25" customHeight="1">
      <c r="BG439" s="13"/>
      <c r="BH439" s="13"/>
    </row>
    <row r="440" ht="14.25" customHeight="1">
      <c r="BG440" s="13"/>
      <c r="BH440" s="13"/>
    </row>
    <row r="441" ht="14.25" customHeight="1">
      <c r="BG441" s="13"/>
      <c r="BH441" s="13"/>
    </row>
    <row r="442" ht="14.25" customHeight="1">
      <c r="BG442" s="13"/>
      <c r="BH442" s="13"/>
    </row>
    <row r="443" ht="14.25" customHeight="1">
      <c r="BG443" s="13"/>
      <c r="BH443" s="13"/>
    </row>
    <row r="444" ht="14.25" customHeight="1">
      <c r="BG444" s="13"/>
      <c r="BH444" s="13"/>
    </row>
    <row r="445" ht="14.25" customHeight="1">
      <c r="BG445" s="13"/>
      <c r="BH445" s="13"/>
    </row>
    <row r="446" ht="14.25" customHeight="1">
      <c r="BG446" s="13"/>
      <c r="BH446" s="13"/>
    </row>
    <row r="447" ht="14.25" customHeight="1">
      <c r="BG447" s="13"/>
      <c r="BH447" s="13"/>
    </row>
    <row r="448" ht="14.25" customHeight="1">
      <c r="BG448" s="13"/>
      <c r="BH448" s="13"/>
    </row>
    <row r="449" ht="14.25" customHeight="1">
      <c r="BG449" s="13"/>
      <c r="BH449" s="13"/>
    </row>
    <row r="450" ht="14.25" customHeight="1">
      <c r="BG450" s="13"/>
      <c r="BH450" s="13"/>
    </row>
    <row r="451" ht="14.25" customHeight="1">
      <c r="BG451" s="13"/>
      <c r="BH451" s="13"/>
    </row>
    <row r="452" ht="14.25" customHeight="1">
      <c r="BG452" s="13"/>
      <c r="BH452" s="13"/>
    </row>
    <row r="453" ht="14.25" customHeight="1">
      <c r="BG453" s="13"/>
      <c r="BH453" s="13"/>
    </row>
    <row r="454" ht="14.25" customHeight="1">
      <c r="BG454" s="13"/>
      <c r="BH454" s="13"/>
    </row>
    <row r="455" ht="14.25" customHeight="1">
      <c r="BG455" s="13"/>
      <c r="BH455" s="13"/>
    </row>
    <row r="456" ht="14.25" customHeight="1">
      <c r="BG456" s="13"/>
      <c r="BH456" s="13"/>
    </row>
    <row r="457" ht="14.25" customHeight="1">
      <c r="BG457" s="13"/>
      <c r="BH457" s="13"/>
    </row>
    <row r="458" ht="14.25" customHeight="1">
      <c r="BG458" s="13"/>
      <c r="BH458" s="13"/>
    </row>
    <row r="459" ht="14.25" customHeight="1">
      <c r="BG459" s="13"/>
      <c r="BH459" s="13"/>
    </row>
    <row r="460" ht="14.25" customHeight="1">
      <c r="BG460" s="13"/>
      <c r="BH460" s="13"/>
    </row>
    <row r="461" ht="14.25" customHeight="1">
      <c r="BG461" s="13"/>
      <c r="BH461" s="13"/>
    </row>
    <row r="462" ht="14.25" customHeight="1">
      <c r="BG462" s="13"/>
      <c r="BH462" s="13"/>
    </row>
    <row r="463" ht="14.25" customHeight="1">
      <c r="BG463" s="13"/>
      <c r="BH463" s="13"/>
    </row>
    <row r="464" ht="14.25" customHeight="1">
      <c r="BG464" s="13"/>
      <c r="BH464" s="13"/>
    </row>
    <row r="465" ht="14.25" customHeight="1">
      <c r="BG465" s="13"/>
      <c r="BH465" s="13"/>
    </row>
    <row r="466" ht="14.25" customHeight="1">
      <c r="BG466" s="13"/>
      <c r="BH466" s="13"/>
    </row>
    <row r="467" ht="14.25" customHeight="1">
      <c r="BG467" s="13"/>
      <c r="BH467" s="13"/>
    </row>
    <row r="468" ht="14.25" customHeight="1">
      <c r="BG468" s="13"/>
      <c r="BH468" s="13"/>
    </row>
    <row r="469" ht="14.25" customHeight="1">
      <c r="BG469" s="13"/>
      <c r="BH469" s="13"/>
    </row>
    <row r="470" ht="14.25" customHeight="1">
      <c r="BG470" s="13"/>
      <c r="BH470" s="13"/>
    </row>
    <row r="471" ht="14.25" customHeight="1">
      <c r="BG471" s="13"/>
      <c r="BH471" s="13"/>
    </row>
    <row r="472" ht="14.25" customHeight="1">
      <c r="BG472" s="13"/>
      <c r="BH472" s="13"/>
    </row>
    <row r="473" ht="14.25" customHeight="1">
      <c r="BG473" s="13"/>
      <c r="BH473" s="13"/>
    </row>
    <row r="474" ht="14.25" customHeight="1">
      <c r="BG474" s="13"/>
      <c r="BH474" s="13"/>
    </row>
    <row r="475" ht="14.25" customHeight="1">
      <c r="BG475" s="13"/>
      <c r="BH475" s="13"/>
    </row>
    <row r="476" ht="14.25" customHeight="1">
      <c r="BG476" s="13"/>
      <c r="BH476" s="13"/>
    </row>
    <row r="477" ht="14.25" customHeight="1">
      <c r="BG477" s="13"/>
      <c r="BH477" s="13"/>
    </row>
    <row r="478" ht="14.25" customHeight="1">
      <c r="BG478" s="13"/>
      <c r="BH478" s="13"/>
    </row>
    <row r="479" ht="14.25" customHeight="1">
      <c r="BG479" s="13"/>
      <c r="BH479" s="13"/>
    </row>
    <row r="480" ht="14.25" customHeight="1">
      <c r="BG480" s="13"/>
      <c r="BH480" s="13"/>
    </row>
    <row r="481" ht="14.25" customHeight="1">
      <c r="BG481" s="13"/>
      <c r="BH481" s="13"/>
    </row>
    <row r="482" ht="14.25" customHeight="1">
      <c r="BG482" s="13"/>
      <c r="BH482" s="13"/>
    </row>
    <row r="483" ht="14.25" customHeight="1">
      <c r="BG483" s="13"/>
      <c r="BH483" s="13"/>
    </row>
    <row r="484" ht="14.25" customHeight="1">
      <c r="BG484" s="13"/>
      <c r="BH484" s="13"/>
    </row>
    <row r="485" ht="14.25" customHeight="1">
      <c r="BG485" s="13"/>
      <c r="BH485" s="13"/>
    </row>
    <row r="486" ht="14.25" customHeight="1">
      <c r="BG486" s="13"/>
      <c r="BH486" s="13"/>
    </row>
    <row r="487" ht="14.25" customHeight="1">
      <c r="BG487" s="13"/>
      <c r="BH487" s="13"/>
    </row>
    <row r="488" ht="14.25" customHeight="1">
      <c r="BG488" s="13"/>
      <c r="BH488" s="13"/>
    </row>
    <row r="489" ht="14.25" customHeight="1">
      <c r="BG489" s="13"/>
      <c r="BH489" s="13"/>
    </row>
    <row r="490" ht="14.25" customHeight="1">
      <c r="BG490" s="13"/>
      <c r="BH490" s="13"/>
    </row>
    <row r="491" ht="14.25" customHeight="1">
      <c r="BG491" s="13"/>
      <c r="BH491" s="13"/>
    </row>
    <row r="492" ht="14.25" customHeight="1">
      <c r="BG492" s="13"/>
      <c r="BH492" s="13"/>
    </row>
    <row r="493" ht="14.25" customHeight="1">
      <c r="BG493" s="13"/>
      <c r="BH493" s="13"/>
    </row>
    <row r="494" ht="14.25" customHeight="1">
      <c r="BG494" s="13"/>
      <c r="BH494" s="13"/>
    </row>
    <row r="495" ht="14.25" customHeight="1">
      <c r="BG495" s="13"/>
      <c r="BH495" s="13"/>
    </row>
    <row r="496" ht="14.25" customHeight="1">
      <c r="BG496" s="13"/>
      <c r="BH496" s="13"/>
    </row>
    <row r="497" ht="14.25" customHeight="1">
      <c r="BG497" s="13"/>
      <c r="BH497" s="13"/>
    </row>
    <row r="498" ht="14.25" customHeight="1">
      <c r="BG498" s="13"/>
      <c r="BH498" s="13"/>
    </row>
    <row r="499" ht="14.25" customHeight="1">
      <c r="BG499" s="13"/>
      <c r="BH499" s="13"/>
    </row>
    <row r="500" ht="14.25" customHeight="1">
      <c r="BG500" s="13"/>
      <c r="BH500" s="13"/>
    </row>
    <row r="501" ht="14.25" customHeight="1">
      <c r="BG501" s="13"/>
      <c r="BH501" s="13"/>
    </row>
    <row r="502" ht="14.25" customHeight="1">
      <c r="BG502" s="13"/>
      <c r="BH502" s="13"/>
    </row>
    <row r="503" ht="14.25" customHeight="1">
      <c r="BG503" s="13"/>
      <c r="BH503" s="13"/>
    </row>
    <row r="504" ht="14.25" customHeight="1">
      <c r="BG504" s="13"/>
      <c r="BH504" s="13"/>
    </row>
    <row r="505" ht="14.25" customHeight="1">
      <c r="BG505" s="13"/>
      <c r="BH505" s="13"/>
    </row>
    <row r="506" ht="14.25" customHeight="1">
      <c r="BG506" s="13"/>
      <c r="BH506" s="13"/>
    </row>
    <row r="507" ht="14.25" customHeight="1">
      <c r="BG507" s="13"/>
      <c r="BH507" s="13"/>
    </row>
    <row r="508" ht="14.25" customHeight="1">
      <c r="BG508" s="13"/>
      <c r="BH508" s="13"/>
    </row>
    <row r="509" ht="14.25" customHeight="1">
      <c r="BG509" s="13"/>
      <c r="BH509" s="13"/>
    </row>
    <row r="510" ht="14.25" customHeight="1">
      <c r="BG510" s="13"/>
      <c r="BH510" s="13"/>
    </row>
    <row r="511" ht="14.25" customHeight="1">
      <c r="BG511" s="13"/>
      <c r="BH511" s="13"/>
    </row>
    <row r="512" ht="14.25" customHeight="1">
      <c r="BG512" s="13"/>
      <c r="BH512" s="13"/>
    </row>
    <row r="513" ht="14.25" customHeight="1">
      <c r="BG513" s="13"/>
      <c r="BH513" s="13"/>
    </row>
    <row r="514" ht="14.25" customHeight="1">
      <c r="BG514" s="13"/>
      <c r="BH514" s="13"/>
    </row>
    <row r="515" ht="14.25" customHeight="1">
      <c r="BG515" s="13"/>
      <c r="BH515" s="13"/>
    </row>
    <row r="516" ht="14.25" customHeight="1">
      <c r="BG516" s="13"/>
      <c r="BH516" s="13"/>
    </row>
    <row r="517" ht="14.25" customHeight="1">
      <c r="BG517" s="13"/>
      <c r="BH517" s="13"/>
    </row>
    <row r="518" ht="14.25" customHeight="1">
      <c r="BG518" s="13"/>
      <c r="BH518" s="13"/>
    </row>
    <row r="519" ht="14.25" customHeight="1">
      <c r="BG519" s="13"/>
      <c r="BH519" s="13"/>
    </row>
    <row r="520" ht="14.25" customHeight="1">
      <c r="BG520" s="13"/>
      <c r="BH520" s="13"/>
    </row>
    <row r="521" ht="14.25" customHeight="1">
      <c r="BG521" s="13"/>
      <c r="BH521" s="13"/>
    </row>
    <row r="522" ht="14.25" customHeight="1">
      <c r="BG522" s="13"/>
      <c r="BH522" s="13"/>
    </row>
    <row r="523" ht="14.25" customHeight="1">
      <c r="BG523" s="13"/>
      <c r="BH523" s="13"/>
    </row>
    <row r="524" ht="14.25" customHeight="1">
      <c r="BG524" s="13"/>
      <c r="BH524" s="13"/>
    </row>
    <row r="525" ht="14.25" customHeight="1">
      <c r="BG525" s="13"/>
      <c r="BH525" s="13"/>
    </row>
    <row r="526" ht="14.25" customHeight="1">
      <c r="BG526" s="13"/>
      <c r="BH526" s="13"/>
    </row>
    <row r="527" ht="14.25" customHeight="1">
      <c r="BG527" s="13"/>
      <c r="BH527" s="13"/>
    </row>
    <row r="528" ht="14.25" customHeight="1">
      <c r="BG528" s="13"/>
      <c r="BH528" s="13"/>
    </row>
    <row r="529" ht="14.25" customHeight="1">
      <c r="BG529" s="13"/>
      <c r="BH529" s="13"/>
    </row>
    <row r="530" ht="14.25" customHeight="1">
      <c r="BG530" s="13"/>
      <c r="BH530" s="13"/>
    </row>
    <row r="531" ht="14.25" customHeight="1">
      <c r="BG531" s="13"/>
      <c r="BH531" s="13"/>
    </row>
    <row r="532" ht="14.25" customHeight="1">
      <c r="BG532" s="13"/>
      <c r="BH532" s="13"/>
    </row>
    <row r="533" ht="14.25" customHeight="1">
      <c r="BG533" s="13"/>
      <c r="BH533" s="13"/>
    </row>
    <row r="534" ht="14.25" customHeight="1">
      <c r="BG534" s="13"/>
      <c r="BH534" s="13"/>
    </row>
    <row r="535" ht="14.25" customHeight="1">
      <c r="BG535" s="13"/>
      <c r="BH535" s="13"/>
    </row>
    <row r="536" ht="14.25" customHeight="1">
      <c r="BG536" s="13"/>
      <c r="BH536" s="13"/>
    </row>
    <row r="537" ht="14.25" customHeight="1">
      <c r="BG537" s="13"/>
      <c r="BH537" s="13"/>
    </row>
    <row r="538" ht="14.25" customHeight="1">
      <c r="BG538" s="13"/>
      <c r="BH538" s="13"/>
    </row>
    <row r="539" ht="14.25" customHeight="1">
      <c r="BG539" s="13"/>
      <c r="BH539" s="13"/>
    </row>
    <row r="540" ht="14.25" customHeight="1">
      <c r="BG540" s="13"/>
      <c r="BH540" s="13"/>
    </row>
    <row r="541" ht="14.25" customHeight="1">
      <c r="BG541" s="13"/>
      <c r="BH541" s="13"/>
    </row>
    <row r="542" ht="14.25" customHeight="1">
      <c r="BG542" s="13"/>
      <c r="BH542" s="13"/>
    </row>
    <row r="543" ht="14.25" customHeight="1">
      <c r="BG543" s="13"/>
      <c r="BH543" s="13"/>
    </row>
    <row r="544" ht="14.25" customHeight="1">
      <c r="BG544" s="13"/>
      <c r="BH544" s="13"/>
    </row>
    <row r="545" ht="14.25" customHeight="1">
      <c r="BG545" s="13"/>
      <c r="BH545" s="13"/>
    </row>
    <row r="546" ht="14.25" customHeight="1">
      <c r="BG546" s="13"/>
      <c r="BH546" s="13"/>
    </row>
    <row r="547" ht="14.25" customHeight="1">
      <c r="BG547" s="13"/>
      <c r="BH547" s="13"/>
    </row>
    <row r="548" ht="14.25" customHeight="1">
      <c r="BG548" s="13"/>
      <c r="BH548" s="13"/>
    </row>
    <row r="549" ht="14.25" customHeight="1">
      <c r="BG549" s="13"/>
      <c r="BH549" s="13"/>
    </row>
    <row r="550" ht="14.25" customHeight="1">
      <c r="BG550" s="13"/>
      <c r="BH550" s="13"/>
    </row>
    <row r="551" ht="14.25" customHeight="1">
      <c r="BG551" s="13"/>
      <c r="BH551" s="13"/>
    </row>
    <row r="552" ht="14.25" customHeight="1">
      <c r="BG552" s="13"/>
      <c r="BH552" s="13"/>
    </row>
    <row r="553" ht="14.25" customHeight="1">
      <c r="BG553" s="13"/>
      <c r="BH553" s="13"/>
    </row>
    <row r="554" ht="14.25" customHeight="1">
      <c r="BG554" s="13"/>
      <c r="BH554" s="13"/>
    </row>
    <row r="555" ht="14.25" customHeight="1">
      <c r="BG555" s="13"/>
      <c r="BH555" s="13"/>
    </row>
    <row r="556" ht="14.25" customHeight="1">
      <c r="BG556" s="13"/>
      <c r="BH556" s="13"/>
    </row>
    <row r="557" ht="14.25" customHeight="1">
      <c r="BG557" s="13"/>
      <c r="BH557" s="13"/>
    </row>
    <row r="558" ht="14.25" customHeight="1">
      <c r="BG558" s="13"/>
      <c r="BH558" s="13"/>
    </row>
    <row r="559" ht="14.25" customHeight="1">
      <c r="BG559" s="13"/>
      <c r="BH559" s="13"/>
    </row>
    <row r="560" ht="14.25" customHeight="1">
      <c r="BG560" s="13"/>
      <c r="BH560" s="13"/>
    </row>
    <row r="561" ht="14.25" customHeight="1">
      <c r="BG561" s="13"/>
      <c r="BH561" s="13"/>
    </row>
    <row r="562" ht="14.25" customHeight="1">
      <c r="BG562" s="13"/>
      <c r="BH562" s="13"/>
    </row>
    <row r="563" ht="14.25" customHeight="1">
      <c r="BG563" s="13"/>
      <c r="BH563" s="13"/>
    </row>
    <row r="564" ht="14.25" customHeight="1">
      <c r="BG564" s="13"/>
      <c r="BH564" s="13"/>
    </row>
    <row r="565" ht="14.25" customHeight="1">
      <c r="BG565" s="13"/>
      <c r="BH565" s="13"/>
    </row>
    <row r="566" ht="14.25" customHeight="1">
      <c r="BG566" s="13"/>
      <c r="BH566" s="13"/>
    </row>
    <row r="567" ht="14.25" customHeight="1">
      <c r="BG567" s="13"/>
      <c r="BH567" s="13"/>
    </row>
    <row r="568" ht="14.25" customHeight="1">
      <c r="BG568" s="13"/>
      <c r="BH568" s="13"/>
    </row>
    <row r="569" ht="14.25" customHeight="1">
      <c r="BG569" s="13"/>
      <c r="BH569" s="13"/>
    </row>
    <row r="570" ht="14.25" customHeight="1">
      <c r="BG570" s="13"/>
      <c r="BH570" s="13"/>
    </row>
    <row r="571" ht="14.25" customHeight="1">
      <c r="BG571" s="13"/>
      <c r="BH571" s="13"/>
    </row>
    <row r="572" ht="14.25" customHeight="1">
      <c r="BG572" s="13"/>
      <c r="BH572" s="13"/>
    </row>
    <row r="573" ht="14.25" customHeight="1">
      <c r="BG573" s="13"/>
      <c r="BH573" s="13"/>
    </row>
    <row r="574" ht="14.25" customHeight="1">
      <c r="BG574" s="13"/>
      <c r="BH574" s="13"/>
    </row>
    <row r="575" ht="14.25" customHeight="1">
      <c r="BG575" s="13"/>
      <c r="BH575" s="13"/>
    </row>
    <row r="576" ht="14.25" customHeight="1">
      <c r="BG576" s="13"/>
      <c r="BH576" s="13"/>
    </row>
    <row r="577" ht="14.25" customHeight="1">
      <c r="BG577" s="13"/>
      <c r="BH577" s="13"/>
    </row>
    <row r="578" ht="14.25" customHeight="1">
      <c r="BG578" s="13"/>
      <c r="BH578" s="13"/>
    </row>
    <row r="579" ht="14.25" customHeight="1">
      <c r="BG579" s="13"/>
      <c r="BH579" s="13"/>
    </row>
    <row r="580" ht="14.25" customHeight="1">
      <c r="BG580" s="13"/>
      <c r="BH580" s="13"/>
    </row>
    <row r="581" ht="14.25" customHeight="1">
      <c r="BG581" s="13"/>
      <c r="BH581" s="13"/>
    </row>
    <row r="582" ht="14.25" customHeight="1">
      <c r="BG582" s="13"/>
      <c r="BH582" s="13"/>
    </row>
    <row r="583" ht="14.25" customHeight="1">
      <c r="BG583" s="13"/>
      <c r="BH583" s="13"/>
    </row>
    <row r="584" ht="14.25" customHeight="1">
      <c r="BG584" s="13"/>
      <c r="BH584" s="13"/>
    </row>
    <row r="585" ht="14.25" customHeight="1">
      <c r="BG585" s="13"/>
      <c r="BH585" s="13"/>
    </row>
    <row r="586" ht="14.25" customHeight="1">
      <c r="BG586" s="13"/>
      <c r="BH586" s="13"/>
    </row>
    <row r="587" ht="14.25" customHeight="1">
      <c r="BG587" s="13"/>
      <c r="BH587" s="13"/>
    </row>
    <row r="588" ht="14.25" customHeight="1">
      <c r="BG588" s="13"/>
      <c r="BH588" s="13"/>
    </row>
    <row r="589" ht="14.25" customHeight="1">
      <c r="BG589" s="13"/>
      <c r="BH589" s="13"/>
    </row>
    <row r="590" ht="14.25" customHeight="1">
      <c r="BG590" s="13"/>
      <c r="BH590" s="13"/>
    </row>
    <row r="591" ht="14.25" customHeight="1">
      <c r="BG591" s="13"/>
      <c r="BH591" s="13"/>
    </row>
    <row r="592" ht="14.25" customHeight="1">
      <c r="BG592" s="13"/>
      <c r="BH592" s="13"/>
    </row>
    <row r="593" ht="14.25" customHeight="1">
      <c r="BG593" s="13"/>
      <c r="BH593" s="13"/>
    </row>
    <row r="594" ht="14.25" customHeight="1">
      <c r="BG594" s="13"/>
      <c r="BH594" s="13"/>
    </row>
    <row r="595" ht="14.25" customHeight="1">
      <c r="BG595" s="13"/>
      <c r="BH595" s="13"/>
    </row>
    <row r="596" ht="14.25" customHeight="1">
      <c r="BG596" s="13"/>
      <c r="BH596" s="13"/>
    </row>
    <row r="597" ht="14.25" customHeight="1">
      <c r="BG597" s="13"/>
      <c r="BH597" s="13"/>
    </row>
    <row r="598" ht="14.25" customHeight="1">
      <c r="BG598" s="13"/>
      <c r="BH598" s="13"/>
    </row>
    <row r="599" ht="14.25" customHeight="1">
      <c r="BG599" s="13"/>
      <c r="BH599" s="13"/>
    </row>
    <row r="600" ht="14.25" customHeight="1">
      <c r="BG600" s="13"/>
      <c r="BH600" s="13"/>
    </row>
    <row r="601" ht="14.25" customHeight="1">
      <c r="BG601" s="13"/>
      <c r="BH601" s="13"/>
    </row>
    <row r="602" ht="14.25" customHeight="1">
      <c r="BG602" s="13"/>
      <c r="BH602" s="13"/>
    </row>
    <row r="603" ht="14.25" customHeight="1">
      <c r="BG603" s="13"/>
      <c r="BH603" s="13"/>
    </row>
    <row r="604" ht="14.25" customHeight="1">
      <c r="BG604" s="13"/>
      <c r="BH604" s="13"/>
    </row>
    <row r="605" ht="14.25" customHeight="1">
      <c r="BG605" s="13"/>
      <c r="BH605" s="13"/>
    </row>
    <row r="606" ht="14.25" customHeight="1">
      <c r="BG606" s="13"/>
      <c r="BH606" s="13"/>
    </row>
    <row r="607" ht="14.25" customHeight="1">
      <c r="BG607" s="13"/>
      <c r="BH607" s="13"/>
    </row>
    <row r="608" ht="14.25" customHeight="1">
      <c r="BG608" s="13"/>
      <c r="BH608" s="13"/>
    </row>
    <row r="609" ht="14.25" customHeight="1">
      <c r="BG609" s="13"/>
      <c r="BH609" s="13"/>
    </row>
    <row r="610" ht="14.25" customHeight="1">
      <c r="BG610" s="13"/>
      <c r="BH610" s="13"/>
    </row>
    <row r="611" ht="14.25" customHeight="1">
      <c r="BG611" s="13"/>
      <c r="BH611" s="13"/>
    </row>
    <row r="612" ht="14.25" customHeight="1">
      <c r="BG612" s="13"/>
      <c r="BH612" s="13"/>
    </row>
    <row r="613" ht="14.25" customHeight="1">
      <c r="BG613" s="13"/>
      <c r="BH613" s="13"/>
    </row>
    <row r="614" ht="14.25" customHeight="1">
      <c r="BG614" s="13"/>
      <c r="BH614" s="13"/>
    </row>
    <row r="615" ht="14.25" customHeight="1">
      <c r="BG615" s="13"/>
      <c r="BH615" s="13"/>
    </row>
    <row r="616" ht="14.25" customHeight="1">
      <c r="BG616" s="13"/>
      <c r="BH616" s="13"/>
    </row>
    <row r="617" ht="14.25" customHeight="1">
      <c r="BG617" s="13"/>
      <c r="BH617" s="13"/>
    </row>
    <row r="618" ht="14.25" customHeight="1">
      <c r="BG618" s="13"/>
      <c r="BH618" s="13"/>
    </row>
    <row r="619" ht="14.25" customHeight="1">
      <c r="BG619" s="13"/>
      <c r="BH619" s="13"/>
    </row>
    <row r="620" ht="14.25" customHeight="1">
      <c r="BG620" s="13"/>
      <c r="BH620" s="13"/>
    </row>
    <row r="621" ht="14.25" customHeight="1">
      <c r="BG621" s="13"/>
      <c r="BH621" s="13"/>
    </row>
    <row r="622" ht="14.25" customHeight="1">
      <c r="BG622" s="13"/>
      <c r="BH622" s="13"/>
    </row>
    <row r="623" ht="14.25" customHeight="1">
      <c r="BG623" s="13"/>
      <c r="BH623" s="13"/>
    </row>
    <row r="624" ht="14.25" customHeight="1">
      <c r="BG624" s="13"/>
      <c r="BH624" s="13"/>
    </row>
    <row r="625" ht="14.25" customHeight="1">
      <c r="BG625" s="13"/>
      <c r="BH625" s="13"/>
    </row>
    <row r="626" ht="14.25" customHeight="1">
      <c r="BG626" s="13"/>
      <c r="BH626" s="13"/>
    </row>
    <row r="627" ht="14.25" customHeight="1">
      <c r="BG627" s="13"/>
      <c r="BH627" s="13"/>
    </row>
    <row r="628" ht="14.25" customHeight="1">
      <c r="BG628" s="13"/>
      <c r="BH628" s="13"/>
    </row>
    <row r="629" ht="14.25" customHeight="1">
      <c r="BG629" s="13"/>
      <c r="BH629" s="13"/>
    </row>
    <row r="630" ht="14.25" customHeight="1">
      <c r="BG630" s="13"/>
      <c r="BH630" s="13"/>
    </row>
    <row r="631" ht="14.25" customHeight="1">
      <c r="BG631" s="13"/>
      <c r="BH631" s="13"/>
    </row>
    <row r="632" ht="14.25" customHeight="1">
      <c r="BG632" s="13"/>
      <c r="BH632" s="13"/>
    </row>
    <row r="633" ht="14.25" customHeight="1">
      <c r="BG633" s="13"/>
      <c r="BH633" s="13"/>
    </row>
    <row r="634" ht="14.25" customHeight="1">
      <c r="BG634" s="13"/>
      <c r="BH634" s="13"/>
    </row>
    <row r="635" ht="14.25" customHeight="1">
      <c r="BG635" s="13"/>
      <c r="BH635" s="13"/>
    </row>
    <row r="636" ht="14.25" customHeight="1">
      <c r="BG636" s="13"/>
      <c r="BH636" s="13"/>
    </row>
    <row r="637" ht="14.25" customHeight="1">
      <c r="BG637" s="13"/>
      <c r="BH637" s="13"/>
    </row>
    <row r="638" ht="14.25" customHeight="1">
      <c r="BG638" s="13"/>
      <c r="BH638" s="13"/>
    </row>
    <row r="639" ht="14.25" customHeight="1">
      <c r="BG639" s="13"/>
      <c r="BH639" s="13"/>
    </row>
    <row r="640" ht="14.25" customHeight="1">
      <c r="BG640" s="13"/>
      <c r="BH640" s="13"/>
    </row>
    <row r="641" ht="14.25" customHeight="1">
      <c r="BG641" s="13"/>
      <c r="BH641" s="13"/>
    </row>
    <row r="642" ht="14.25" customHeight="1">
      <c r="BG642" s="13"/>
      <c r="BH642" s="13"/>
    </row>
    <row r="643" ht="14.25" customHeight="1">
      <c r="BG643" s="13"/>
      <c r="BH643" s="13"/>
    </row>
    <row r="644" ht="14.25" customHeight="1">
      <c r="BG644" s="13"/>
      <c r="BH644" s="13"/>
    </row>
    <row r="645" ht="14.25" customHeight="1">
      <c r="BG645" s="13"/>
      <c r="BH645" s="13"/>
    </row>
    <row r="646" ht="14.25" customHeight="1">
      <c r="BG646" s="13"/>
      <c r="BH646" s="13"/>
    </row>
    <row r="647" ht="14.25" customHeight="1">
      <c r="BG647" s="13"/>
      <c r="BH647" s="13"/>
    </row>
    <row r="648" ht="14.25" customHeight="1">
      <c r="BG648" s="13"/>
      <c r="BH648" s="13"/>
    </row>
    <row r="649" ht="14.25" customHeight="1">
      <c r="BG649" s="13"/>
      <c r="BH649" s="13"/>
    </row>
    <row r="650" ht="14.25" customHeight="1">
      <c r="BG650" s="13"/>
      <c r="BH650" s="13"/>
    </row>
    <row r="651" ht="14.25" customHeight="1">
      <c r="BG651" s="13"/>
      <c r="BH651" s="13"/>
    </row>
    <row r="652" ht="14.25" customHeight="1">
      <c r="BG652" s="13"/>
      <c r="BH652" s="13"/>
    </row>
    <row r="653" ht="14.25" customHeight="1">
      <c r="BG653" s="13"/>
      <c r="BH653" s="13"/>
    </row>
    <row r="654" ht="14.25" customHeight="1">
      <c r="BG654" s="13"/>
      <c r="BH654" s="13"/>
    </row>
    <row r="655" ht="14.25" customHeight="1">
      <c r="BG655" s="13"/>
      <c r="BH655" s="13"/>
    </row>
    <row r="656" ht="14.25" customHeight="1">
      <c r="BG656" s="13"/>
      <c r="BH656" s="13"/>
    </row>
    <row r="657" ht="14.25" customHeight="1">
      <c r="BG657" s="13"/>
      <c r="BH657" s="13"/>
    </row>
    <row r="658" ht="14.25" customHeight="1">
      <c r="BG658" s="13"/>
      <c r="BH658" s="13"/>
    </row>
    <row r="659" ht="14.25" customHeight="1">
      <c r="BG659" s="13"/>
      <c r="BH659" s="13"/>
    </row>
    <row r="660" ht="14.25" customHeight="1">
      <c r="BG660" s="13"/>
      <c r="BH660" s="13"/>
    </row>
    <row r="661" ht="14.25" customHeight="1">
      <c r="BG661" s="13"/>
      <c r="BH661" s="13"/>
    </row>
    <row r="662" ht="14.25" customHeight="1">
      <c r="BG662" s="13"/>
      <c r="BH662" s="13"/>
    </row>
    <row r="663" ht="14.25" customHeight="1">
      <c r="BG663" s="13"/>
      <c r="BH663" s="13"/>
    </row>
    <row r="664" ht="14.25" customHeight="1">
      <c r="BG664" s="13"/>
      <c r="BH664" s="13"/>
    </row>
    <row r="665" ht="14.25" customHeight="1">
      <c r="BG665" s="13"/>
      <c r="BH665" s="13"/>
    </row>
    <row r="666" ht="14.25" customHeight="1">
      <c r="BG666" s="13"/>
      <c r="BH666" s="13"/>
    </row>
    <row r="667" ht="14.25" customHeight="1">
      <c r="BG667" s="13"/>
      <c r="BH667" s="13"/>
    </row>
    <row r="668" ht="14.25" customHeight="1">
      <c r="BG668" s="13"/>
      <c r="BH668" s="13"/>
    </row>
    <row r="669" ht="14.25" customHeight="1">
      <c r="BG669" s="13"/>
      <c r="BH669" s="13"/>
    </row>
    <row r="670" ht="14.25" customHeight="1">
      <c r="BG670" s="13"/>
      <c r="BH670" s="13"/>
    </row>
    <row r="671" ht="14.25" customHeight="1">
      <c r="BG671" s="13"/>
      <c r="BH671" s="13"/>
    </row>
    <row r="672" ht="14.25" customHeight="1">
      <c r="BG672" s="13"/>
      <c r="BH672" s="13"/>
    </row>
    <row r="673" ht="14.25" customHeight="1">
      <c r="BG673" s="13"/>
      <c r="BH673" s="13"/>
    </row>
    <row r="674" ht="14.25" customHeight="1">
      <c r="BG674" s="13"/>
      <c r="BH674" s="13"/>
    </row>
    <row r="675" ht="14.25" customHeight="1">
      <c r="BG675" s="13"/>
      <c r="BH675" s="13"/>
    </row>
    <row r="676" ht="14.25" customHeight="1">
      <c r="BG676" s="13"/>
      <c r="BH676" s="13"/>
    </row>
    <row r="677" ht="14.25" customHeight="1">
      <c r="BG677" s="13"/>
      <c r="BH677" s="13"/>
    </row>
    <row r="678" ht="14.25" customHeight="1">
      <c r="BG678" s="13"/>
      <c r="BH678" s="13"/>
    </row>
    <row r="679" ht="14.25" customHeight="1">
      <c r="BG679" s="13"/>
      <c r="BH679" s="13"/>
    </row>
    <row r="680" ht="14.25" customHeight="1">
      <c r="BG680" s="13"/>
      <c r="BH680" s="13"/>
    </row>
    <row r="681" ht="14.25" customHeight="1">
      <c r="BG681" s="13"/>
      <c r="BH681" s="13"/>
    </row>
    <row r="682" ht="14.25" customHeight="1">
      <c r="BG682" s="13"/>
      <c r="BH682" s="13"/>
    </row>
    <row r="683" ht="14.25" customHeight="1">
      <c r="BG683" s="13"/>
      <c r="BH683" s="13"/>
    </row>
    <row r="684" ht="14.25" customHeight="1">
      <c r="BG684" s="13"/>
      <c r="BH684" s="13"/>
    </row>
    <row r="685" ht="14.25" customHeight="1">
      <c r="BG685" s="13"/>
      <c r="BH685" s="13"/>
    </row>
    <row r="686" ht="14.25" customHeight="1">
      <c r="BG686" s="13"/>
      <c r="BH686" s="13"/>
    </row>
    <row r="687" ht="14.25" customHeight="1">
      <c r="BG687" s="13"/>
      <c r="BH687" s="13"/>
    </row>
    <row r="688" ht="14.25" customHeight="1">
      <c r="BG688" s="13"/>
      <c r="BH688" s="13"/>
    </row>
    <row r="689" ht="14.25" customHeight="1">
      <c r="BG689" s="13"/>
      <c r="BH689" s="13"/>
    </row>
    <row r="690" ht="14.25" customHeight="1">
      <c r="BG690" s="13"/>
      <c r="BH690" s="13"/>
    </row>
    <row r="691" ht="14.25" customHeight="1">
      <c r="BG691" s="13"/>
      <c r="BH691" s="13"/>
    </row>
    <row r="692" ht="14.25" customHeight="1">
      <c r="BG692" s="13"/>
      <c r="BH692" s="13"/>
    </row>
    <row r="693" ht="14.25" customHeight="1">
      <c r="BG693" s="13"/>
      <c r="BH693" s="13"/>
    </row>
    <row r="694" ht="14.25" customHeight="1">
      <c r="BG694" s="13"/>
      <c r="BH694" s="13"/>
    </row>
    <row r="695" ht="14.25" customHeight="1">
      <c r="BG695" s="13"/>
      <c r="BH695" s="13"/>
    </row>
    <row r="696" ht="14.25" customHeight="1">
      <c r="BG696" s="13"/>
      <c r="BH696" s="13"/>
    </row>
    <row r="697" ht="14.25" customHeight="1">
      <c r="BG697" s="13"/>
      <c r="BH697" s="13"/>
    </row>
    <row r="698" ht="14.25" customHeight="1">
      <c r="BG698" s="13"/>
      <c r="BH698" s="13"/>
    </row>
    <row r="699" ht="14.25" customHeight="1">
      <c r="BG699" s="13"/>
      <c r="BH699" s="13"/>
    </row>
    <row r="700" ht="14.25" customHeight="1">
      <c r="BG700" s="13"/>
      <c r="BH700" s="13"/>
    </row>
    <row r="701" ht="14.25" customHeight="1">
      <c r="BG701" s="13"/>
      <c r="BH701" s="13"/>
    </row>
    <row r="702" ht="14.25" customHeight="1">
      <c r="BG702" s="13"/>
      <c r="BH702" s="13"/>
    </row>
    <row r="703" ht="14.25" customHeight="1">
      <c r="BG703" s="13"/>
      <c r="BH703" s="13"/>
    </row>
    <row r="704" ht="14.25" customHeight="1">
      <c r="BG704" s="13"/>
      <c r="BH704" s="13"/>
    </row>
    <row r="705" ht="14.25" customHeight="1">
      <c r="BG705" s="13"/>
      <c r="BH705" s="13"/>
    </row>
    <row r="706" ht="14.25" customHeight="1">
      <c r="BG706" s="13"/>
      <c r="BH706" s="13"/>
    </row>
    <row r="707" ht="14.25" customHeight="1">
      <c r="BG707" s="13"/>
      <c r="BH707" s="13"/>
    </row>
    <row r="708" ht="14.25" customHeight="1">
      <c r="BG708" s="13"/>
      <c r="BH708" s="13"/>
    </row>
    <row r="709" ht="14.25" customHeight="1">
      <c r="BG709" s="13"/>
      <c r="BH709" s="13"/>
    </row>
    <row r="710" ht="14.25" customHeight="1">
      <c r="BG710" s="13"/>
      <c r="BH710" s="13"/>
    </row>
    <row r="711" ht="14.25" customHeight="1">
      <c r="BG711" s="13"/>
      <c r="BH711" s="13"/>
    </row>
    <row r="712" ht="14.25" customHeight="1">
      <c r="BG712" s="13"/>
      <c r="BH712" s="13"/>
    </row>
    <row r="713" ht="14.25" customHeight="1">
      <c r="BG713" s="13"/>
      <c r="BH713" s="13"/>
    </row>
    <row r="714" ht="14.25" customHeight="1">
      <c r="BG714" s="13"/>
      <c r="BH714" s="13"/>
    </row>
    <row r="715" ht="14.25" customHeight="1">
      <c r="BG715" s="13"/>
      <c r="BH715" s="13"/>
    </row>
    <row r="716" ht="14.25" customHeight="1">
      <c r="BG716" s="13"/>
      <c r="BH716" s="13"/>
    </row>
    <row r="717" ht="14.25" customHeight="1">
      <c r="BG717" s="13"/>
      <c r="BH717" s="13"/>
    </row>
    <row r="718" ht="14.25" customHeight="1">
      <c r="BG718" s="13"/>
      <c r="BH718" s="13"/>
    </row>
    <row r="719" ht="14.25" customHeight="1">
      <c r="BG719" s="13"/>
      <c r="BH719" s="13"/>
    </row>
    <row r="720" ht="14.25" customHeight="1">
      <c r="BG720" s="13"/>
      <c r="BH720" s="13"/>
    </row>
    <row r="721" ht="14.25" customHeight="1">
      <c r="BG721" s="13"/>
      <c r="BH721" s="13"/>
    </row>
    <row r="722" ht="14.25" customHeight="1">
      <c r="BG722" s="13"/>
      <c r="BH722" s="13"/>
    </row>
    <row r="723" ht="14.25" customHeight="1">
      <c r="BG723" s="13"/>
      <c r="BH723" s="13"/>
    </row>
    <row r="724" ht="14.25" customHeight="1">
      <c r="BG724" s="13"/>
      <c r="BH724" s="13"/>
    </row>
    <row r="725" ht="14.25" customHeight="1">
      <c r="BG725" s="13"/>
      <c r="BH725" s="13"/>
    </row>
    <row r="726" ht="14.25" customHeight="1">
      <c r="BG726" s="13"/>
      <c r="BH726" s="13"/>
    </row>
    <row r="727" ht="14.25" customHeight="1">
      <c r="BG727" s="13"/>
      <c r="BH727" s="13"/>
    </row>
    <row r="728" ht="14.25" customHeight="1">
      <c r="BG728" s="13"/>
      <c r="BH728" s="13"/>
    </row>
    <row r="729" ht="14.25" customHeight="1">
      <c r="BG729" s="13"/>
      <c r="BH729" s="13"/>
    </row>
    <row r="730" ht="14.25" customHeight="1">
      <c r="BG730" s="13"/>
      <c r="BH730" s="13"/>
    </row>
    <row r="731" ht="14.25" customHeight="1">
      <c r="BG731" s="13"/>
      <c r="BH731" s="13"/>
    </row>
    <row r="732" ht="14.25" customHeight="1">
      <c r="BG732" s="13"/>
      <c r="BH732" s="13"/>
    </row>
    <row r="733" ht="14.25" customHeight="1">
      <c r="BG733" s="13"/>
      <c r="BH733" s="13"/>
    </row>
    <row r="734" ht="14.25" customHeight="1">
      <c r="BG734" s="13"/>
      <c r="BH734" s="13"/>
    </row>
    <row r="735" ht="14.25" customHeight="1">
      <c r="BG735" s="13"/>
      <c r="BH735" s="13"/>
    </row>
    <row r="736" ht="14.25" customHeight="1">
      <c r="BG736" s="13"/>
      <c r="BH736" s="13"/>
    </row>
    <row r="737" ht="14.25" customHeight="1">
      <c r="BG737" s="13"/>
      <c r="BH737" s="13"/>
    </row>
    <row r="738" ht="14.25" customHeight="1">
      <c r="BG738" s="13"/>
      <c r="BH738" s="13"/>
    </row>
    <row r="739" ht="14.25" customHeight="1">
      <c r="BG739" s="13"/>
      <c r="BH739" s="13"/>
    </row>
    <row r="740" ht="14.25" customHeight="1">
      <c r="BG740" s="13"/>
      <c r="BH740" s="13"/>
    </row>
    <row r="741" ht="14.25" customHeight="1">
      <c r="BG741" s="13"/>
      <c r="BH741" s="13"/>
    </row>
    <row r="742" ht="14.25" customHeight="1">
      <c r="BG742" s="13"/>
      <c r="BH742" s="13"/>
    </row>
    <row r="743" ht="14.25" customHeight="1">
      <c r="BG743" s="13"/>
      <c r="BH743" s="13"/>
    </row>
    <row r="744" ht="14.25" customHeight="1">
      <c r="BG744" s="13"/>
      <c r="BH744" s="13"/>
    </row>
    <row r="745" ht="14.25" customHeight="1">
      <c r="BG745" s="13"/>
      <c r="BH745" s="13"/>
    </row>
    <row r="746" ht="14.25" customHeight="1">
      <c r="BG746" s="13"/>
      <c r="BH746" s="13"/>
    </row>
    <row r="747" ht="14.25" customHeight="1">
      <c r="BG747" s="13"/>
      <c r="BH747" s="13"/>
    </row>
    <row r="748" ht="14.25" customHeight="1">
      <c r="BG748" s="13"/>
      <c r="BH748" s="13"/>
    </row>
    <row r="749" ht="14.25" customHeight="1">
      <c r="BG749" s="13"/>
      <c r="BH749" s="13"/>
    </row>
    <row r="750" ht="14.25" customHeight="1">
      <c r="BG750" s="13"/>
      <c r="BH750" s="13"/>
    </row>
    <row r="751" ht="14.25" customHeight="1">
      <c r="BG751" s="13"/>
      <c r="BH751" s="13"/>
    </row>
    <row r="752" ht="14.25" customHeight="1">
      <c r="BG752" s="13"/>
      <c r="BH752" s="13"/>
    </row>
    <row r="753" ht="14.25" customHeight="1">
      <c r="BG753" s="13"/>
      <c r="BH753" s="13"/>
    </row>
    <row r="754" ht="14.25" customHeight="1">
      <c r="BG754" s="13"/>
      <c r="BH754" s="13"/>
    </row>
    <row r="755" ht="14.25" customHeight="1">
      <c r="BG755" s="13"/>
      <c r="BH755" s="13"/>
    </row>
    <row r="756" ht="14.25" customHeight="1">
      <c r="BG756" s="13"/>
      <c r="BH756" s="13"/>
    </row>
    <row r="757" ht="14.25" customHeight="1">
      <c r="BG757" s="13"/>
      <c r="BH757" s="13"/>
    </row>
    <row r="758" ht="14.25" customHeight="1">
      <c r="BG758" s="13"/>
      <c r="BH758" s="13"/>
    </row>
    <row r="759" ht="14.25" customHeight="1">
      <c r="BG759" s="13"/>
      <c r="BH759" s="13"/>
    </row>
    <row r="760" ht="14.25" customHeight="1">
      <c r="BG760" s="13"/>
      <c r="BH760" s="13"/>
    </row>
    <row r="761" ht="14.25" customHeight="1">
      <c r="BG761" s="13"/>
      <c r="BH761" s="13"/>
    </row>
    <row r="762" ht="14.25" customHeight="1">
      <c r="BG762" s="13"/>
      <c r="BH762" s="13"/>
    </row>
    <row r="763" ht="14.25" customHeight="1">
      <c r="BG763" s="13"/>
      <c r="BH763" s="13"/>
    </row>
    <row r="764" ht="14.25" customHeight="1">
      <c r="BG764" s="13"/>
      <c r="BH764" s="13"/>
    </row>
    <row r="765" ht="14.25" customHeight="1">
      <c r="BG765" s="13"/>
      <c r="BH765" s="13"/>
    </row>
    <row r="766" ht="14.25" customHeight="1">
      <c r="BG766" s="13"/>
      <c r="BH766" s="13"/>
    </row>
    <row r="767" ht="14.25" customHeight="1">
      <c r="BG767" s="13"/>
      <c r="BH767" s="13"/>
    </row>
    <row r="768" ht="14.25" customHeight="1">
      <c r="BG768" s="13"/>
      <c r="BH768" s="13"/>
    </row>
    <row r="769" ht="14.25" customHeight="1">
      <c r="BG769" s="13"/>
      <c r="BH769" s="13"/>
    </row>
    <row r="770" ht="14.25" customHeight="1">
      <c r="BG770" s="13"/>
      <c r="BH770" s="13"/>
    </row>
    <row r="771" ht="14.25" customHeight="1">
      <c r="BG771" s="13"/>
      <c r="BH771" s="13"/>
    </row>
    <row r="772" ht="14.25" customHeight="1">
      <c r="BG772" s="13"/>
      <c r="BH772" s="13"/>
    </row>
    <row r="773" ht="14.25" customHeight="1">
      <c r="BG773" s="13"/>
      <c r="BH773" s="13"/>
    </row>
    <row r="774" ht="14.25" customHeight="1">
      <c r="BG774" s="13"/>
      <c r="BH774" s="13"/>
    </row>
    <row r="775" ht="14.25" customHeight="1">
      <c r="BG775" s="13"/>
      <c r="BH775" s="13"/>
    </row>
    <row r="776" ht="14.25" customHeight="1">
      <c r="BG776" s="13"/>
      <c r="BH776" s="13"/>
    </row>
    <row r="777" ht="14.25" customHeight="1">
      <c r="BG777" s="13"/>
      <c r="BH777" s="13"/>
    </row>
    <row r="778" ht="14.25" customHeight="1">
      <c r="BG778" s="13"/>
      <c r="BH778" s="13"/>
    </row>
    <row r="779" ht="14.25" customHeight="1">
      <c r="BG779" s="13"/>
      <c r="BH779" s="13"/>
    </row>
    <row r="780" ht="14.25" customHeight="1">
      <c r="BG780" s="13"/>
      <c r="BH780" s="13"/>
    </row>
    <row r="781" ht="14.25" customHeight="1">
      <c r="BG781" s="13"/>
      <c r="BH781" s="13"/>
    </row>
    <row r="782" ht="14.25" customHeight="1">
      <c r="BG782" s="13"/>
      <c r="BH782" s="13"/>
    </row>
    <row r="783" ht="14.25" customHeight="1">
      <c r="BG783" s="13"/>
      <c r="BH783" s="13"/>
    </row>
    <row r="784" ht="14.25" customHeight="1">
      <c r="BG784" s="13"/>
      <c r="BH784" s="13"/>
    </row>
    <row r="785" ht="14.25" customHeight="1">
      <c r="BG785" s="13"/>
      <c r="BH785" s="13"/>
    </row>
    <row r="786" ht="14.25" customHeight="1">
      <c r="BG786" s="13"/>
      <c r="BH786" s="13"/>
    </row>
    <row r="787" ht="14.25" customHeight="1">
      <c r="BG787" s="13"/>
      <c r="BH787" s="13"/>
    </row>
    <row r="788" ht="14.25" customHeight="1">
      <c r="BG788" s="13"/>
      <c r="BH788" s="13"/>
    </row>
    <row r="789" ht="14.25" customHeight="1">
      <c r="BG789" s="13"/>
      <c r="BH789" s="13"/>
    </row>
    <row r="790" ht="14.25" customHeight="1">
      <c r="BG790" s="13"/>
      <c r="BH790" s="13"/>
    </row>
    <row r="791" ht="14.25" customHeight="1">
      <c r="BG791" s="13"/>
      <c r="BH791" s="13"/>
    </row>
    <row r="792" ht="14.25" customHeight="1">
      <c r="BG792" s="13"/>
      <c r="BH792" s="13"/>
    </row>
    <row r="793" ht="14.25" customHeight="1">
      <c r="BG793" s="13"/>
      <c r="BH793" s="13"/>
    </row>
    <row r="794" ht="14.25" customHeight="1">
      <c r="BG794" s="13"/>
      <c r="BH794" s="13"/>
    </row>
    <row r="795" ht="14.25" customHeight="1">
      <c r="BG795" s="13"/>
      <c r="BH795" s="13"/>
    </row>
    <row r="796" ht="14.25" customHeight="1">
      <c r="BG796" s="13"/>
      <c r="BH796" s="13"/>
    </row>
    <row r="797" ht="14.25" customHeight="1">
      <c r="BG797" s="13"/>
      <c r="BH797" s="13"/>
    </row>
    <row r="798" ht="14.25" customHeight="1">
      <c r="BG798" s="13"/>
      <c r="BH798" s="13"/>
    </row>
    <row r="799" ht="14.25" customHeight="1">
      <c r="BG799" s="13"/>
      <c r="BH799" s="13"/>
    </row>
    <row r="800" ht="14.25" customHeight="1">
      <c r="BG800" s="13"/>
      <c r="BH800" s="13"/>
    </row>
    <row r="801" ht="14.25" customHeight="1">
      <c r="BG801" s="13"/>
      <c r="BH801" s="13"/>
    </row>
    <row r="802" ht="14.25" customHeight="1">
      <c r="BG802" s="13"/>
      <c r="BH802" s="13"/>
    </row>
    <row r="803" ht="14.25" customHeight="1">
      <c r="BG803" s="13"/>
      <c r="BH803" s="13"/>
    </row>
    <row r="804" ht="14.25" customHeight="1">
      <c r="BG804" s="13"/>
      <c r="BH804" s="13"/>
    </row>
    <row r="805" ht="14.25" customHeight="1">
      <c r="BG805" s="13"/>
      <c r="BH805" s="13"/>
    </row>
    <row r="806" ht="14.25" customHeight="1">
      <c r="BG806" s="13"/>
      <c r="BH806" s="13"/>
    </row>
    <row r="807" ht="14.25" customHeight="1">
      <c r="BG807" s="13"/>
      <c r="BH807" s="13"/>
    </row>
    <row r="808" ht="14.25" customHeight="1">
      <c r="BG808" s="13"/>
      <c r="BH808" s="13"/>
    </row>
    <row r="809" ht="14.25" customHeight="1">
      <c r="BG809" s="13"/>
      <c r="BH809" s="13"/>
    </row>
    <row r="810" ht="14.25" customHeight="1">
      <c r="BG810" s="13"/>
      <c r="BH810" s="13"/>
    </row>
    <row r="811" ht="14.25" customHeight="1">
      <c r="BG811" s="13"/>
      <c r="BH811" s="13"/>
    </row>
    <row r="812" ht="14.25" customHeight="1">
      <c r="BG812" s="13"/>
      <c r="BH812" s="13"/>
    </row>
    <row r="813" ht="14.25" customHeight="1">
      <c r="BG813" s="13"/>
      <c r="BH813" s="13"/>
    </row>
    <row r="814" ht="14.25" customHeight="1">
      <c r="BG814" s="13"/>
      <c r="BH814" s="13"/>
    </row>
    <row r="815" ht="14.25" customHeight="1">
      <c r="BG815" s="13"/>
      <c r="BH815" s="13"/>
    </row>
    <row r="816" ht="14.25" customHeight="1">
      <c r="BG816" s="13"/>
      <c r="BH816" s="13"/>
    </row>
    <row r="817" ht="14.25" customHeight="1">
      <c r="BG817" s="13"/>
      <c r="BH817" s="13"/>
    </row>
    <row r="818" ht="14.25" customHeight="1">
      <c r="BG818" s="13"/>
      <c r="BH818" s="13"/>
    </row>
    <row r="819" ht="14.25" customHeight="1">
      <c r="BG819" s="13"/>
      <c r="BH819" s="13"/>
    </row>
    <row r="820" ht="14.25" customHeight="1">
      <c r="BG820" s="13"/>
      <c r="BH820" s="13"/>
    </row>
    <row r="821" ht="14.25" customHeight="1">
      <c r="BG821" s="13"/>
      <c r="BH821" s="13"/>
    </row>
    <row r="822" ht="14.25" customHeight="1">
      <c r="BG822" s="13"/>
      <c r="BH822" s="13"/>
    </row>
    <row r="823" ht="14.25" customHeight="1">
      <c r="BG823" s="13"/>
      <c r="BH823" s="13"/>
    </row>
    <row r="824" ht="14.25" customHeight="1">
      <c r="BG824" s="13"/>
      <c r="BH824" s="13"/>
    </row>
    <row r="825" ht="14.25" customHeight="1">
      <c r="BG825" s="13"/>
      <c r="BH825" s="13"/>
    </row>
    <row r="826" ht="14.25" customHeight="1">
      <c r="BG826" s="13"/>
      <c r="BH826" s="13"/>
    </row>
    <row r="827" ht="14.25" customHeight="1">
      <c r="BG827" s="13"/>
      <c r="BH827" s="13"/>
    </row>
    <row r="828" ht="14.25" customHeight="1">
      <c r="BG828" s="13"/>
      <c r="BH828" s="13"/>
    </row>
    <row r="829" ht="14.25" customHeight="1">
      <c r="BG829" s="13"/>
      <c r="BH829" s="13"/>
    </row>
    <row r="830" ht="14.25" customHeight="1">
      <c r="BG830" s="13"/>
      <c r="BH830" s="13"/>
    </row>
    <row r="831" ht="14.25" customHeight="1">
      <c r="BG831" s="13"/>
      <c r="BH831" s="13"/>
    </row>
    <row r="832" ht="14.25" customHeight="1">
      <c r="BG832" s="13"/>
      <c r="BH832" s="13"/>
    </row>
    <row r="833" ht="14.25" customHeight="1">
      <c r="BG833" s="13"/>
      <c r="BH833" s="13"/>
    </row>
    <row r="834" ht="14.25" customHeight="1">
      <c r="BG834" s="13"/>
      <c r="BH834" s="13"/>
    </row>
    <row r="835" ht="14.25" customHeight="1">
      <c r="BG835" s="13"/>
      <c r="BH835" s="13"/>
    </row>
    <row r="836" ht="14.25" customHeight="1">
      <c r="BG836" s="13"/>
      <c r="BH836" s="13"/>
    </row>
    <row r="837" ht="14.25" customHeight="1">
      <c r="BG837" s="13"/>
      <c r="BH837" s="13"/>
    </row>
    <row r="838" ht="14.25" customHeight="1">
      <c r="BG838" s="13"/>
      <c r="BH838" s="13"/>
    </row>
    <row r="839" ht="14.25" customHeight="1">
      <c r="BG839" s="13"/>
      <c r="BH839" s="13"/>
    </row>
    <row r="840" ht="14.25" customHeight="1">
      <c r="BG840" s="13"/>
      <c r="BH840" s="13"/>
    </row>
    <row r="841" ht="14.25" customHeight="1">
      <c r="BG841" s="13"/>
      <c r="BH841" s="13"/>
    </row>
    <row r="842" ht="14.25" customHeight="1">
      <c r="BG842" s="13"/>
      <c r="BH842" s="13"/>
    </row>
    <row r="843" ht="14.25" customHeight="1">
      <c r="BG843" s="13"/>
      <c r="BH843" s="13"/>
    </row>
    <row r="844" ht="14.25" customHeight="1">
      <c r="BG844" s="13"/>
      <c r="BH844" s="13"/>
    </row>
    <row r="845" ht="14.25" customHeight="1">
      <c r="BG845" s="13"/>
      <c r="BH845" s="13"/>
    </row>
    <row r="846" ht="14.25" customHeight="1">
      <c r="BG846" s="13"/>
      <c r="BH846" s="13"/>
    </row>
    <row r="847" ht="14.25" customHeight="1">
      <c r="BG847" s="13"/>
      <c r="BH847" s="13"/>
    </row>
    <row r="848" ht="14.25" customHeight="1">
      <c r="BG848" s="13"/>
      <c r="BH848" s="13"/>
    </row>
    <row r="849" ht="14.25" customHeight="1">
      <c r="BG849" s="13"/>
      <c r="BH849" s="13"/>
    </row>
    <row r="850" ht="14.25" customHeight="1">
      <c r="BG850" s="13"/>
      <c r="BH850" s="13"/>
    </row>
    <row r="851" ht="14.25" customHeight="1">
      <c r="BG851" s="13"/>
      <c r="BH851" s="13"/>
    </row>
    <row r="852" ht="14.25" customHeight="1">
      <c r="BG852" s="13"/>
      <c r="BH852" s="13"/>
    </row>
    <row r="853" ht="14.25" customHeight="1">
      <c r="BG853" s="13"/>
      <c r="BH853" s="13"/>
    </row>
    <row r="854" ht="14.25" customHeight="1">
      <c r="BG854" s="13"/>
      <c r="BH854" s="13"/>
    </row>
    <row r="855" ht="14.25" customHeight="1">
      <c r="BG855" s="13"/>
      <c r="BH855" s="13"/>
    </row>
    <row r="856" ht="14.25" customHeight="1">
      <c r="BG856" s="13"/>
      <c r="BH856" s="13"/>
    </row>
    <row r="857" ht="14.25" customHeight="1">
      <c r="BG857" s="13"/>
      <c r="BH857" s="13"/>
    </row>
    <row r="858" ht="14.25" customHeight="1">
      <c r="BG858" s="13"/>
      <c r="BH858" s="13"/>
    </row>
    <row r="859" ht="14.25" customHeight="1">
      <c r="BG859" s="13"/>
      <c r="BH859" s="13"/>
    </row>
    <row r="860" ht="14.25" customHeight="1">
      <c r="BG860" s="13"/>
      <c r="BH860" s="13"/>
    </row>
    <row r="861" ht="14.25" customHeight="1">
      <c r="BG861" s="13"/>
      <c r="BH861" s="13"/>
    </row>
    <row r="862" ht="14.25" customHeight="1">
      <c r="BG862" s="13"/>
      <c r="BH862" s="13"/>
    </row>
    <row r="863" ht="14.25" customHeight="1">
      <c r="BG863" s="13"/>
      <c r="BH863" s="13"/>
    </row>
    <row r="864" ht="14.25" customHeight="1">
      <c r="BG864" s="13"/>
      <c r="BH864" s="13"/>
    </row>
    <row r="865" ht="14.25" customHeight="1">
      <c r="BG865" s="13"/>
      <c r="BH865" s="13"/>
    </row>
    <row r="866" ht="14.25" customHeight="1">
      <c r="BG866" s="13"/>
      <c r="BH866" s="13"/>
    </row>
    <row r="867" ht="14.25" customHeight="1">
      <c r="BG867" s="13"/>
      <c r="BH867" s="13"/>
    </row>
    <row r="868" ht="14.25" customHeight="1">
      <c r="BG868" s="13"/>
      <c r="BH868" s="13"/>
    </row>
    <row r="869" ht="14.25" customHeight="1">
      <c r="BG869" s="13"/>
      <c r="BH869" s="13"/>
    </row>
    <row r="870" ht="14.25" customHeight="1">
      <c r="BG870" s="13"/>
      <c r="BH870" s="13"/>
    </row>
    <row r="871" ht="14.25" customHeight="1">
      <c r="BG871" s="13"/>
      <c r="BH871" s="13"/>
    </row>
    <row r="872" ht="14.25" customHeight="1">
      <c r="BG872" s="13"/>
      <c r="BH872" s="13"/>
    </row>
    <row r="873" ht="14.25" customHeight="1">
      <c r="BG873" s="13"/>
      <c r="BH873" s="13"/>
    </row>
    <row r="874" ht="14.25" customHeight="1">
      <c r="BG874" s="13"/>
      <c r="BH874" s="13"/>
    </row>
    <row r="875" ht="14.25" customHeight="1">
      <c r="BG875" s="13"/>
      <c r="BH875" s="13"/>
    </row>
    <row r="876" ht="14.25" customHeight="1">
      <c r="BG876" s="13"/>
      <c r="BH876" s="13"/>
    </row>
    <row r="877" ht="14.25" customHeight="1">
      <c r="BG877" s="13"/>
      <c r="BH877" s="13"/>
    </row>
    <row r="878" ht="14.25" customHeight="1">
      <c r="BG878" s="13"/>
      <c r="BH878" s="13"/>
    </row>
    <row r="879" ht="14.25" customHeight="1">
      <c r="BG879" s="13"/>
      <c r="BH879" s="13"/>
    </row>
    <row r="880" ht="14.25" customHeight="1">
      <c r="BG880" s="13"/>
      <c r="BH880" s="13"/>
    </row>
    <row r="881" ht="14.25" customHeight="1">
      <c r="BG881" s="13"/>
      <c r="BH881" s="13"/>
    </row>
    <row r="882" ht="14.25" customHeight="1">
      <c r="BG882" s="13"/>
      <c r="BH882" s="13"/>
    </row>
    <row r="883" ht="14.25" customHeight="1">
      <c r="BG883" s="13"/>
      <c r="BH883" s="13"/>
    </row>
    <row r="884" ht="14.25" customHeight="1">
      <c r="BG884" s="13"/>
      <c r="BH884" s="13"/>
    </row>
    <row r="885" ht="14.25" customHeight="1">
      <c r="BG885" s="13"/>
      <c r="BH885" s="13"/>
    </row>
    <row r="886" ht="14.25" customHeight="1">
      <c r="BG886" s="13"/>
      <c r="BH886" s="13"/>
    </row>
    <row r="887" ht="14.25" customHeight="1">
      <c r="BG887" s="13"/>
      <c r="BH887" s="13"/>
    </row>
    <row r="888" ht="14.25" customHeight="1">
      <c r="BG888" s="13"/>
      <c r="BH888" s="13"/>
    </row>
    <row r="889" ht="14.25" customHeight="1">
      <c r="BG889" s="13"/>
      <c r="BH889" s="13"/>
    </row>
    <row r="890" ht="14.25" customHeight="1">
      <c r="BG890" s="13"/>
      <c r="BH890" s="13"/>
    </row>
    <row r="891" ht="14.25" customHeight="1">
      <c r="BG891" s="13"/>
      <c r="BH891" s="13"/>
    </row>
    <row r="892" ht="14.25" customHeight="1">
      <c r="BG892" s="13"/>
      <c r="BH892" s="13"/>
    </row>
    <row r="893" ht="14.25" customHeight="1">
      <c r="BG893" s="13"/>
      <c r="BH893" s="13"/>
    </row>
    <row r="894" ht="14.25" customHeight="1">
      <c r="BG894" s="13"/>
      <c r="BH894" s="13"/>
    </row>
    <row r="895" ht="14.25" customHeight="1">
      <c r="BG895" s="13"/>
      <c r="BH895" s="13"/>
    </row>
    <row r="896" ht="14.25" customHeight="1">
      <c r="BG896" s="13"/>
      <c r="BH896" s="13"/>
    </row>
    <row r="897" ht="14.25" customHeight="1">
      <c r="BG897" s="13"/>
      <c r="BH897" s="13"/>
    </row>
    <row r="898" ht="14.25" customHeight="1">
      <c r="BG898" s="13"/>
      <c r="BH898" s="13"/>
    </row>
    <row r="899" ht="14.25" customHeight="1">
      <c r="BG899" s="13"/>
      <c r="BH899" s="13"/>
    </row>
    <row r="900" ht="14.25" customHeight="1">
      <c r="BG900" s="13"/>
      <c r="BH900" s="13"/>
    </row>
    <row r="901" ht="14.25" customHeight="1">
      <c r="BG901" s="13"/>
      <c r="BH901" s="13"/>
    </row>
    <row r="902" ht="14.25" customHeight="1">
      <c r="BG902" s="13"/>
      <c r="BH902" s="13"/>
    </row>
    <row r="903" ht="14.25" customHeight="1">
      <c r="BG903" s="13"/>
      <c r="BH903" s="13"/>
    </row>
    <row r="904" ht="14.25" customHeight="1">
      <c r="BG904" s="13"/>
      <c r="BH904" s="13"/>
    </row>
    <row r="905" ht="14.25" customHeight="1">
      <c r="BG905" s="13"/>
      <c r="BH905" s="13"/>
    </row>
    <row r="906" ht="14.25" customHeight="1">
      <c r="BG906" s="13"/>
      <c r="BH906" s="13"/>
    </row>
    <row r="907" ht="14.25" customHeight="1">
      <c r="BG907" s="13"/>
      <c r="BH907" s="13"/>
    </row>
    <row r="908" ht="14.25" customHeight="1">
      <c r="BG908" s="13"/>
      <c r="BH908" s="13"/>
    </row>
    <row r="909" ht="14.25" customHeight="1">
      <c r="BG909" s="13"/>
      <c r="BH909" s="13"/>
    </row>
    <row r="910" ht="14.25" customHeight="1">
      <c r="BG910" s="13"/>
      <c r="BH910" s="13"/>
    </row>
    <row r="911" ht="14.25" customHeight="1">
      <c r="BG911" s="13"/>
      <c r="BH911" s="13"/>
    </row>
    <row r="912" ht="14.25" customHeight="1">
      <c r="BG912" s="13"/>
      <c r="BH912" s="13"/>
    </row>
    <row r="913" ht="14.25" customHeight="1">
      <c r="BG913" s="13"/>
      <c r="BH913" s="13"/>
    </row>
    <row r="914" ht="14.25" customHeight="1">
      <c r="BG914" s="13"/>
      <c r="BH914" s="13"/>
    </row>
    <row r="915" ht="14.25" customHeight="1">
      <c r="BG915" s="13"/>
      <c r="BH915" s="13"/>
    </row>
    <row r="916" ht="14.25" customHeight="1">
      <c r="BG916" s="13"/>
      <c r="BH916" s="13"/>
    </row>
    <row r="917" ht="14.25" customHeight="1">
      <c r="BG917" s="13"/>
      <c r="BH917" s="13"/>
    </row>
    <row r="918" ht="14.25" customHeight="1">
      <c r="BG918" s="13"/>
      <c r="BH918" s="13"/>
    </row>
    <row r="919" ht="14.25" customHeight="1">
      <c r="BG919" s="13"/>
      <c r="BH919" s="13"/>
    </row>
    <row r="920" ht="14.25" customHeight="1">
      <c r="BG920" s="13"/>
      <c r="BH920" s="13"/>
    </row>
    <row r="921" ht="14.25" customHeight="1">
      <c r="BG921" s="13"/>
      <c r="BH921" s="13"/>
    </row>
    <row r="922" ht="14.25" customHeight="1">
      <c r="BG922" s="13"/>
      <c r="BH922" s="13"/>
    </row>
    <row r="923" ht="14.25" customHeight="1">
      <c r="BG923" s="13"/>
      <c r="BH923" s="13"/>
    </row>
    <row r="924" ht="14.25" customHeight="1">
      <c r="BG924" s="13"/>
      <c r="BH924" s="13"/>
    </row>
    <row r="925" ht="14.25" customHeight="1">
      <c r="BG925" s="13"/>
      <c r="BH925" s="13"/>
    </row>
    <row r="926" ht="14.25" customHeight="1">
      <c r="BG926" s="13"/>
      <c r="BH926" s="13"/>
    </row>
    <row r="927" ht="14.25" customHeight="1">
      <c r="BG927" s="13"/>
      <c r="BH927" s="13"/>
    </row>
    <row r="928" ht="14.25" customHeight="1">
      <c r="BG928" s="13"/>
      <c r="BH928" s="13"/>
    </row>
    <row r="929" ht="14.25" customHeight="1">
      <c r="BG929" s="13"/>
      <c r="BH929" s="13"/>
    </row>
    <row r="930" ht="14.25" customHeight="1">
      <c r="BG930" s="13"/>
      <c r="BH930" s="13"/>
    </row>
    <row r="931" ht="14.25" customHeight="1">
      <c r="BG931" s="13"/>
      <c r="BH931" s="13"/>
    </row>
    <row r="932" ht="14.25" customHeight="1">
      <c r="BG932" s="13"/>
      <c r="BH932" s="13"/>
    </row>
    <row r="933" ht="14.25" customHeight="1">
      <c r="BG933" s="13"/>
      <c r="BH933" s="13"/>
    </row>
    <row r="934" ht="14.25" customHeight="1">
      <c r="BG934" s="13"/>
      <c r="BH934" s="13"/>
    </row>
    <row r="935" ht="14.25" customHeight="1">
      <c r="BG935" s="13"/>
      <c r="BH935" s="13"/>
    </row>
    <row r="936" ht="14.25" customHeight="1">
      <c r="BG936" s="13"/>
      <c r="BH936" s="13"/>
    </row>
    <row r="937" ht="14.25" customHeight="1">
      <c r="BG937" s="13"/>
      <c r="BH937" s="13"/>
    </row>
    <row r="938" ht="14.25" customHeight="1">
      <c r="BG938" s="13"/>
      <c r="BH938" s="13"/>
    </row>
    <row r="939" ht="14.25" customHeight="1">
      <c r="BG939" s="13"/>
      <c r="BH939" s="13"/>
    </row>
    <row r="940" ht="14.25" customHeight="1">
      <c r="BG940" s="13"/>
      <c r="BH940" s="13"/>
    </row>
    <row r="941" ht="14.25" customHeight="1">
      <c r="BG941" s="13"/>
      <c r="BH941" s="13"/>
    </row>
    <row r="942" ht="14.25" customHeight="1">
      <c r="BG942" s="13"/>
      <c r="BH942" s="13"/>
    </row>
    <row r="943" ht="14.25" customHeight="1">
      <c r="BG943" s="13"/>
      <c r="BH943" s="13"/>
    </row>
    <row r="944" ht="14.25" customHeight="1">
      <c r="BG944" s="13"/>
      <c r="BH944" s="13"/>
    </row>
    <row r="945" ht="14.25" customHeight="1">
      <c r="BG945" s="13"/>
      <c r="BH945" s="13"/>
    </row>
    <row r="946" ht="14.25" customHeight="1">
      <c r="BG946" s="13"/>
      <c r="BH946" s="13"/>
    </row>
    <row r="947" ht="14.25" customHeight="1">
      <c r="BG947" s="13"/>
      <c r="BH947" s="13"/>
    </row>
    <row r="948" ht="14.25" customHeight="1">
      <c r="BG948" s="13"/>
      <c r="BH948" s="13"/>
    </row>
    <row r="949" ht="14.25" customHeight="1">
      <c r="BG949" s="13"/>
      <c r="BH949" s="13"/>
    </row>
    <row r="950" ht="14.25" customHeight="1">
      <c r="BG950" s="13"/>
      <c r="BH950" s="13"/>
    </row>
    <row r="951" ht="14.25" customHeight="1">
      <c r="BG951" s="13"/>
      <c r="BH951" s="13"/>
    </row>
    <row r="952" ht="14.25" customHeight="1">
      <c r="BG952" s="13"/>
      <c r="BH952" s="13"/>
    </row>
    <row r="953" ht="14.25" customHeight="1">
      <c r="BG953" s="13"/>
      <c r="BH953" s="13"/>
    </row>
    <row r="954" ht="14.25" customHeight="1">
      <c r="BG954" s="13"/>
      <c r="BH954" s="13"/>
    </row>
    <row r="955" ht="14.25" customHeight="1">
      <c r="BG955" s="13"/>
      <c r="BH955" s="13"/>
    </row>
    <row r="956" ht="14.25" customHeight="1">
      <c r="BG956" s="13"/>
      <c r="BH956" s="13"/>
    </row>
    <row r="957" ht="14.25" customHeight="1">
      <c r="BG957" s="13"/>
      <c r="BH957" s="13"/>
    </row>
    <row r="958" ht="14.25" customHeight="1">
      <c r="BG958" s="13"/>
      <c r="BH958" s="13"/>
    </row>
    <row r="959" ht="14.25" customHeight="1">
      <c r="BG959" s="13"/>
      <c r="BH959" s="13"/>
    </row>
    <row r="960" ht="14.25" customHeight="1">
      <c r="BG960" s="13"/>
      <c r="BH960" s="13"/>
    </row>
    <row r="961" ht="14.25" customHeight="1">
      <c r="BG961" s="13"/>
      <c r="BH961" s="13"/>
    </row>
    <row r="962" ht="14.25" customHeight="1">
      <c r="BG962" s="13"/>
      <c r="BH962" s="13"/>
    </row>
    <row r="963" ht="14.25" customHeight="1">
      <c r="BG963" s="13"/>
      <c r="BH963" s="13"/>
    </row>
    <row r="964" ht="14.25" customHeight="1">
      <c r="BG964" s="13"/>
      <c r="BH964" s="13"/>
    </row>
    <row r="965" ht="14.25" customHeight="1">
      <c r="BG965" s="13"/>
      <c r="BH965" s="13"/>
    </row>
    <row r="966" ht="14.25" customHeight="1">
      <c r="BG966" s="13"/>
      <c r="BH966" s="13"/>
    </row>
    <row r="967" ht="14.25" customHeight="1">
      <c r="BG967" s="13"/>
      <c r="BH967" s="13"/>
    </row>
    <row r="968" ht="14.25" customHeight="1">
      <c r="BG968" s="13"/>
      <c r="BH968" s="13"/>
    </row>
    <row r="969" ht="14.25" customHeight="1">
      <c r="BG969" s="13"/>
      <c r="BH969" s="13"/>
    </row>
    <row r="970" ht="14.25" customHeight="1">
      <c r="BG970" s="13"/>
      <c r="BH970" s="13"/>
    </row>
    <row r="971" ht="14.25" customHeight="1">
      <c r="BG971" s="13"/>
      <c r="BH971" s="13"/>
    </row>
    <row r="972" ht="14.25" customHeight="1">
      <c r="BG972" s="13"/>
      <c r="BH972" s="13"/>
    </row>
    <row r="973" ht="14.25" customHeight="1">
      <c r="BG973" s="13"/>
      <c r="BH973" s="13"/>
    </row>
    <row r="974" ht="14.25" customHeight="1">
      <c r="BG974" s="13"/>
      <c r="BH974" s="13"/>
    </row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</hyperlinks>
  <printOptions/>
  <pageMargins bottom="0.75" footer="0.0" header="0.0" left="0.7" right="0.7" top="0.75"/>
  <pageSetup orientation="landscape"/>
  <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2.88"/>
    <col customWidth="1" min="3" max="3" width="12.0"/>
    <col customWidth="1" min="4" max="5" width="14.25"/>
    <col customWidth="1" min="6" max="6" width="17.0"/>
    <col customWidth="1" min="7" max="7" width="23.88"/>
    <col customWidth="1" min="8" max="8" width="17.38"/>
    <col customWidth="1" min="9" max="9" width="19.38"/>
    <col customWidth="1" min="10" max="11" width="17.0"/>
    <col customWidth="1" min="12" max="12" width="20.75"/>
    <col customWidth="1" min="13" max="13" width="13.5"/>
    <col customWidth="1" min="14" max="15" width="13.13"/>
    <col customWidth="1" min="16" max="16" width="17.0"/>
    <col customWidth="1" min="17" max="17" width="14.38"/>
    <col customWidth="1" min="18" max="25" width="8.63"/>
    <col customWidth="1" min="26" max="26" width="10.0"/>
    <col customWidth="1" min="27" max="27" width="13.25"/>
    <col customWidth="1" min="28" max="29" width="10.38"/>
    <col customWidth="1" min="30" max="30" width="17.38"/>
    <col customWidth="1" min="31" max="31" width="10.38"/>
    <col customWidth="1" min="32" max="32" width="13.13"/>
    <col customWidth="1" min="33" max="34" width="10.38"/>
    <col customWidth="1" min="35" max="37" width="14.5"/>
    <col customWidth="1" min="38" max="38" width="11.38"/>
    <col customWidth="1" min="39" max="39" width="10.13"/>
    <col customWidth="1" min="40" max="40" width="9.13"/>
    <col customWidth="1" min="41" max="42" width="14.38"/>
    <col customWidth="1" min="43" max="51" width="14.25"/>
    <col customWidth="1" min="52" max="52" width="9.13"/>
    <col customWidth="1" min="53" max="53" width="9.75"/>
    <col customWidth="1" min="54" max="56" width="14.63"/>
    <col customWidth="1" min="57" max="57" width="57.38"/>
    <col customWidth="1" min="58" max="58" width="10.0"/>
    <col customWidth="1" min="59" max="60" width="10.13"/>
    <col customWidth="1" min="61" max="61" width="9.25"/>
    <col customWidth="1" min="62" max="62" width="8.63"/>
    <col customWidth="1" min="63" max="65" width="11.0"/>
    <col customWidth="1" min="66" max="66" width="11.88"/>
    <col customWidth="1" min="67" max="68" width="10.63"/>
    <col customWidth="1" min="69" max="69" width="12.75"/>
    <col customWidth="1" min="70" max="70" width="11.38"/>
    <col customWidth="1" min="71" max="71" width="14.88"/>
    <col customWidth="1" min="72" max="72" width="15.0"/>
    <col customWidth="1" min="73" max="73" width="15.25"/>
    <col customWidth="1" min="74" max="74" width="18.25"/>
    <col customWidth="1" min="75" max="75" width="15.25"/>
    <col customWidth="1" min="76" max="76" width="10.88"/>
    <col customWidth="1" min="77" max="83" width="10.0"/>
    <col customWidth="1" min="84" max="85" width="10.63"/>
    <col customWidth="1" min="86" max="86" width="10.88"/>
  </cols>
  <sheetData>
    <row r="1" ht="54.0" customHeight="1">
      <c r="A1" s="1" t="s">
        <v>0</v>
      </c>
      <c r="B1" s="35" t="s">
        <v>84</v>
      </c>
      <c r="C1" s="35" t="s">
        <v>85</v>
      </c>
      <c r="D1" s="2" t="s">
        <v>246</v>
      </c>
      <c r="E1" s="3" t="s">
        <v>3</v>
      </c>
      <c r="F1" s="4" t="s">
        <v>4</v>
      </c>
      <c r="G1" s="4" t="s">
        <v>88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  <c r="M1" s="4" t="s">
        <v>10</v>
      </c>
      <c r="N1" s="4" t="s">
        <v>89</v>
      </c>
      <c r="O1" s="4" t="s">
        <v>90</v>
      </c>
      <c r="P1" s="4" t="s">
        <v>11</v>
      </c>
      <c r="Q1" s="4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14</v>
      </c>
      <c r="W1" s="2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2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2" t="s">
        <v>91</v>
      </c>
      <c r="AM1" s="2" t="s">
        <v>92</v>
      </c>
      <c r="AN1" s="2" t="s">
        <v>93</v>
      </c>
      <c r="AO1" s="2" t="s">
        <v>94</v>
      </c>
      <c r="AP1" s="2" t="s">
        <v>95</v>
      </c>
      <c r="AQ1" s="2" t="s">
        <v>96</v>
      </c>
      <c r="AR1" s="2" t="s">
        <v>97</v>
      </c>
      <c r="AS1" s="2" t="s">
        <v>98</v>
      </c>
      <c r="AT1" s="2" t="s">
        <v>99</v>
      </c>
      <c r="AU1" s="2" t="s">
        <v>100</v>
      </c>
      <c r="AV1" s="2" t="s">
        <v>29</v>
      </c>
      <c r="AW1" s="2" t="s">
        <v>30</v>
      </c>
      <c r="AX1" s="2" t="s">
        <v>31</v>
      </c>
      <c r="AY1" s="4" t="s">
        <v>101</v>
      </c>
      <c r="AZ1" s="4" t="s">
        <v>102</v>
      </c>
      <c r="BA1" s="4" t="s">
        <v>103</v>
      </c>
      <c r="BB1" s="36" t="s">
        <v>104</v>
      </c>
      <c r="BC1" s="37" t="s">
        <v>30</v>
      </c>
      <c r="BD1" s="37" t="s">
        <v>31</v>
      </c>
      <c r="BE1" s="3" t="s">
        <v>3</v>
      </c>
      <c r="BF1" s="6" t="s">
        <v>32</v>
      </c>
      <c r="BG1" s="38" t="s">
        <v>33</v>
      </c>
      <c r="BH1" s="38" t="s">
        <v>105</v>
      </c>
      <c r="BI1" s="8" t="s">
        <v>34</v>
      </c>
      <c r="BJ1" s="9" t="s">
        <v>35</v>
      </c>
      <c r="BK1" s="9" t="s">
        <v>36</v>
      </c>
      <c r="BL1" s="9" t="s">
        <v>37</v>
      </c>
      <c r="BM1" s="9" t="s">
        <v>38</v>
      </c>
      <c r="BN1" s="9" t="s">
        <v>39</v>
      </c>
      <c r="BO1" s="9" t="s">
        <v>40</v>
      </c>
      <c r="BP1" s="9" t="s">
        <v>41</v>
      </c>
      <c r="BQ1" s="9" t="s">
        <v>42</v>
      </c>
      <c r="BR1" s="9" t="s">
        <v>43</v>
      </c>
      <c r="BS1" s="10" t="s">
        <v>223</v>
      </c>
      <c r="BT1" s="10" t="s">
        <v>224</v>
      </c>
      <c r="BU1" s="10" t="s">
        <v>46</v>
      </c>
      <c r="BV1" s="10" t="s">
        <v>47</v>
      </c>
      <c r="BW1" s="10" t="s">
        <v>48</v>
      </c>
      <c r="BX1" s="10" t="s">
        <v>225</v>
      </c>
      <c r="BY1" s="10" t="s">
        <v>226</v>
      </c>
      <c r="BZ1" s="10" t="s">
        <v>51</v>
      </c>
      <c r="CA1" s="10" t="s">
        <v>247</v>
      </c>
      <c r="CB1" s="10" t="s">
        <v>108</v>
      </c>
      <c r="CC1" s="10" t="s">
        <v>54</v>
      </c>
      <c r="CD1" s="10" t="s">
        <v>227</v>
      </c>
      <c r="CE1" s="10" t="s">
        <v>110</v>
      </c>
      <c r="CF1" s="10" t="s">
        <v>111</v>
      </c>
      <c r="CG1" s="10" t="s">
        <v>112</v>
      </c>
      <c r="CH1" s="10" t="s">
        <v>58</v>
      </c>
    </row>
    <row r="2" ht="14.25" customHeight="1">
      <c r="A2" s="11" t="s">
        <v>120</v>
      </c>
      <c r="B2" s="43"/>
      <c r="C2" s="13"/>
      <c r="D2" s="234">
        <v>3900.0</v>
      </c>
      <c r="E2" s="14" t="s">
        <v>248</v>
      </c>
      <c r="F2" s="5" t="s">
        <v>121</v>
      </c>
      <c r="G2" s="13" t="s">
        <v>115</v>
      </c>
      <c r="H2" s="11" t="s">
        <v>120</v>
      </c>
      <c r="I2" s="13" t="s">
        <v>62</v>
      </c>
      <c r="J2" s="13" t="s">
        <v>63</v>
      </c>
      <c r="K2" s="15">
        <v>8000.0</v>
      </c>
      <c r="L2" s="5" t="s">
        <v>116</v>
      </c>
      <c r="M2" s="43" t="s">
        <v>84</v>
      </c>
      <c r="N2" s="19">
        <v>100.0</v>
      </c>
      <c r="O2" s="44" t="s">
        <v>69</v>
      </c>
      <c r="P2" s="16" t="s">
        <v>66</v>
      </c>
      <c r="Q2" s="17">
        <v>2.01</v>
      </c>
      <c r="R2" s="18" t="s">
        <v>67</v>
      </c>
      <c r="S2" s="19">
        <v>2024.0</v>
      </c>
      <c r="T2" s="20" t="s">
        <v>68</v>
      </c>
      <c r="U2" s="19">
        <v>100.0</v>
      </c>
      <c r="V2" s="19">
        <v>2024.0</v>
      </c>
      <c r="W2" s="19">
        <v>83.07</v>
      </c>
      <c r="X2" s="5">
        <v>25.0</v>
      </c>
      <c r="Y2" s="19">
        <v>2.5</v>
      </c>
      <c r="Z2" s="19">
        <v>6.0</v>
      </c>
      <c r="AA2" s="19">
        <v>7.8</v>
      </c>
      <c r="AB2" s="22">
        <v>0.0</v>
      </c>
      <c r="AC2" s="23" t="s">
        <v>69</v>
      </c>
      <c r="AD2" s="24" t="s">
        <v>70</v>
      </c>
      <c r="AE2" s="25">
        <v>2220.0</v>
      </c>
      <c r="AF2" s="22" t="s">
        <v>71</v>
      </c>
      <c r="AG2" s="22">
        <v>335.4</v>
      </c>
      <c r="AH2" s="22">
        <v>10.7</v>
      </c>
      <c r="AI2" s="22">
        <v>0.0</v>
      </c>
      <c r="AJ2" s="26" t="s">
        <v>72</v>
      </c>
      <c r="AK2" s="27">
        <v>0.0</v>
      </c>
      <c r="AL2" s="23" t="s">
        <v>69</v>
      </c>
      <c r="AM2" s="23" t="s">
        <v>69</v>
      </c>
      <c r="AN2" s="23" t="s">
        <v>69</v>
      </c>
      <c r="AO2" s="23" t="s">
        <v>69</v>
      </c>
      <c r="AP2" s="23" t="s">
        <v>69</v>
      </c>
      <c r="AQ2" s="23" t="s">
        <v>69</v>
      </c>
      <c r="AR2" s="23" t="s">
        <v>69</v>
      </c>
      <c r="AS2" s="23" t="s">
        <v>69</v>
      </c>
      <c r="AT2" s="23" t="s">
        <v>69</v>
      </c>
      <c r="AU2" s="23" t="s">
        <v>69</v>
      </c>
      <c r="AV2" s="23" t="s">
        <v>69</v>
      </c>
      <c r="AW2" s="23" t="s">
        <v>69</v>
      </c>
      <c r="AX2" s="23" t="s">
        <v>69</v>
      </c>
      <c r="AY2" s="47">
        <v>0.0</v>
      </c>
      <c r="AZ2" s="48" t="s">
        <v>118</v>
      </c>
      <c r="BA2" s="49">
        <v>1.0</v>
      </c>
      <c r="BB2" s="50">
        <v>10.0</v>
      </c>
      <c r="BC2" s="51" t="s">
        <v>72</v>
      </c>
      <c r="BD2" s="52">
        <v>0.0</v>
      </c>
      <c r="BE2" s="14" t="s">
        <v>249</v>
      </c>
      <c r="BF2" s="133">
        <v>80.0</v>
      </c>
      <c r="BG2" s="134"/>
      <c r="BH2" s="184"/>
      <c r="BI2" s="144"/>
      <c r="BJ2" s="137"/>
      <c r="BK2" s="137"/>
      <c r="BL2" s="137"/>
      <c r="BM2" s="137"/>
      <c r="BN2" s="137"/>
      <c r="BO2" s="137"/>
      <c r="BP2" s="137"/>
      <c r="BQ2" s="137"/>
      <c r="BR2" s="137"/>
      <c r="BS2" s="185"/>
      <c r="BT2" s="186"/>
      <c r="BU2" s="186"/>
      <c r="BV2" s="187"/>
      <c r="BW2" s="188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90"/>
    </row>
    <row r="3" ht="14.25" customHeight="1">
      <c r="A3" s="11" t="s">
        <v>120</v>
      </c>
      <c r="B3" s="43"/>
      <c r="C3" s="13"/>
      <c r="D3" s="234">
        <v>4100.0</v>
      </c>
      <c r="E3" s="14" t="s">
        <v>250</v>
      </c>
      <c r="F3" s="5" t="s">
        <v>121</v>
      </c>
      <c r="G3" s="13" t="s">
        <v>115</v>
      </c>
      <c r="H3" s="11" t="s">
        <v>120</v>
      </c>
      <c r="I3" s="13" t="s">
        <v>62</v>
      </c>
      <c r="J3" s="13" t="s">
        <v>63</v>
      </c>
      <c r="K3" s="15">
        <v>8000.0</v>
      </c>
      <c r="L3" s="5" t="s">
        <v>116</v>
      </c>
      <c r="M3" s="43" t="s">
        <v>84</v>
      </c>
      <c r="N3" s="19">
        <v>100.0</v>
      </c>
      <c r="O3" s="44" t="s">
        <v>69</v>
      </c>
      <c r="P3" s="16" t="s">
        <v>66</v>
      </c>
      <c r="Q3" s="17">
        <v>2.01</v>
      </c>
      <c r="R3" s="18" t="s">
        <v>67</v>
      </c>
      <c r="S3" s="19">
        <v>2024.0</v>
      </c>
      <c r="T3" s="20" t="s">
        <v>68</v>
      </c>
      <c r="U3" s="19">
        <v>100.0</v>
      </c>
      <c r="V3" s="19">
        <v>2024.0</v>
      </c>
      <c r="W3" s="19">
        <v>83.07</v>
      </c>
      <c r="X3" s="5">
        <v>25.0</v>
      </c>
      <c r="Y3" s="19">
        <v>2.5</v>
      </c>
      <c r="Z3" s="19">
        <v>6.0</v>
      </c>
      <c r="AA3" s="19">
        <v>7.8</v>
      </c>
      <c r="AB3" s="22">
        <v>0.0</v>
      </c>
      <c r="AC3" s="23" t="s">
        <v>69</v>
      </c>
      <c r="AD3" s="24" t="s">
        <v>70</v>
      </c>
      <c r="AE3" s="25">
        <v>2220.0</v>
      </c>
      <c r="AF3" s="22" t="s">
        <v>71</v>
      </c>
      <c r="AG3" s="22">
        <v>335.4</v>
      </c>
      <c r="AH3" s="22">
        <v>10.7</v>
      </c>
      <c r="AI3" s="22">
        <v>0.0</v>
      </c>
      <c r="AJ3" s="26" t="s">
        <v>72</v>
      </c>
      <c r="AK3" s="27">
        <v>0.0</v>
      </c>
      <c r="AL3" s="23" t="s">
        <v>69</v>
      </c>
      <c r="AM3" s="23" t="s">
        <v>69</v>
      </c>
      <c r="AN3" s="23" t="s">
        <v>69</v>
      </c>
      <c r="AO3" s="23" t="s">
        <v>69</v>
      </c>
      <c r="AP3" s="23" t="s">
        <v>69</v>
      </c>
      <c r="AQ3" s="23" t="s">
        <v>69</v>
      </c>
      <c r="AR3" s="23" t="s">
        <v>69</v>
      </c>
      <c r="AS3" s="23" t="s">
        <v>69</v>
      </c>
      <c r="AT3" s="23" t="s">
        <v>69</v>
      </c>
      <c r="AU3" s="23" t="s">
        <v>69</v>
      </c>
      <c r="AV3" s="23" t="s">
        <v>69</v>
      </c>
      <c r="AW3" s="23" t="s">
        <v>69</v>
      </c>
      <c r="AX3" s="23" t="s">
        <v>69</v>
      </c>
      <c r="AY3" s="47">
        <v>0.0</v>
      </c>
      <c r="AZ3" s="48" t="s">
        <v>118</v>
      </c>
      <c r="BA3" s="49">
        <v>1.0</v>
      </c>
      <c r="BB3" s="50">
        <v>10.0</v>
      </c>
      <c r="BC3" s="51" t="s">
        <v>72</v>
      </c>
      <c r="BD3" s="52">
        <v>0.0</v>
      </c>
      <c r="BE3" s="14" t="s">
        <v>251</v>
      </c>
      <c r="BF3" s="133">
        <v>60.0</v>
      </c>
      <c r="BG3" s="134"/>
      <c r="BH3" s="184"/>
      <c r="BI3" s="144"/>
      <c r="BJ3" s="137"/>
      <c r="BK3" s="137"/>
      <c r="BL3" s="137"/>
      <c r="BM3" s="137"/>
      <c r="BN3" s="137"/>
      <c r="BO3" s="137"/>
      <c r="BP3" s="137"/>
      <c r="BQ3" s="137"/>
      <c r="BR3" s="137"/>
      <c r="BS3" s="185"/>
      <c r="BT3" s="186"/>
      <c r="BU3" s="186"/>
      <c r="BV3" s="187"/>
      <c r="BW3" s="188"/>
      <c r="BX3" s="189"/>
      <c r="BY3" s="189"/>
      <c r="BZ3" s="189"/>
      <c r="CA3" s="189"/>
      <c r="CB3" s="189"/>
      <c r="CC3" s="189"/>
      <c r="CD3" s="189"/>
      <c r="CE3" s="189"/>
      <c r="CF3" s="189"/>
      <c r="CG3" s="189"/>
      <c r="CH3" s="190"/>
    </row>
    <row r="4" ht="14.25" customHeight="1">
      <c r="A4" s="11" t="s">
        <v>120</v>
      </c>
      <c r="B4" s="43"/>
      <c r="C4" s="13"/>
      <c r="D4" s="234">
        <v>4300.0</v>
      </c>
      <c r="E4" s="14" t="s">
        <v>252</v>
      </c>
      <c r="F4" s="5" t="s">
        <v>121</v>
      </c>
      <c r="G4" s="13" t="s">
        <v>115</v>
      </c>
      <c r="H4" s="11" t="s">
        <v>120</v>
      </c>
      <c r="I4" s="13" t="s">
        <v>62</v>
      </c>
      <c r="J4" s="13" t="s">
        <v>63</v>
      </c>
      <c r="K4" s="15">
        <v>8000.0</v>
      </c>
      <c r="L4" s="5" t="s">
        <v>116</v>
      </c>
      <c r="M4" s="43" t="s">
        <v>84</v>
      </c>
      <c r="N4" s="19">
        <v>100.0</v>
      </c>
      <c r="O4" s="44" t="s">
        <v>69</v>
      </c>
      <c r="P4" s="16" t="s">
        <v>66</v>
      </c>
      <c r="Q4" s="17">
        <v>2.01</v>
      </c>
      <c r="R4" s="18" t="s">
        <v>67</v>
      </c>
      <c r="S4" s="19">
        <v>2024.0</v>
      </c>
      <c r="T4" s="20" t="s">
        <v>68</v>
      </c>
      <c r="U4" s="19">
        <v>100.0</v>
      </c>
      <c r="V4" s="19">
        <v>2024.0</v>
      </c>
      <c r="W4" s="19">
        <v>83.07</v>
      </c>
      <c r="X4" s="5">
        <v>25.0</v>
      </c>
      <c r="Y4" s="19">
        <v>2.5</v>
      </c>
      <c r="Z4" s="19">
        <v>6.0</v>
      </c>
      <c r="AA4" s="19">
        <v>7.8</v>
      </c>
      <c r="AB4" s="22">
        <v>0.0</v>
      </c>
      <c r="AC4" s="23" t="s">
        <v>69</v>
      </c>
      <c r="AD4" s="24" t="s">
        <v>70</v>
      </c>
      <c r="AE4" s="25">
        <v>2220.0</v>
      </c>
      <c r="AF4" s="22" t="s">
        <v>71</v>
      </c>
      <c r="AG4" s="22">
        <v>335.4</v>
      </c>
      <c r="AH4" s="22">
        <v>10.7</v>
      </c>
      <c r="AI4" s="22">
        <v>0.0</v>
      </c>
      <c r="AJ4" s="26" t="s">
        <v>72</v>
      </c>
      <c r="AK4" s="27">
        <v>0.0</v>
      </c>
      <c r="AL4" s="23" t="s">
        <v>69</v>
      </c>
      <c r="AM4" s="23" t="s">
        <v>69</v>
      </c>
      <c r="AN4" s="23" t="s">
        <v>69</v>
      </c>
      <c r="AO4" s="23" t="s">
        <v>69</v>
      </c>
      <c r="AP4" s="23" t="s">
        <v>69</v>
      </c>
      <c r="AQ4" s="23" t="s">
        <v>69</v>
      </c>
      <c r="AR4" s="23" t="s">
        <v>69</v>
      </c>
      <c r="AS4" s="23" t="s">
        <v>69</v>
      </c>
      <c r="AT4" s="23" t="s">
        <v>69</v>
      </c>
      <c r="AU4" s="23" t="s">
        <v>69</v>
      </c>
      <c r="AV4" s="23" t="s">
        <v>69</v>
      </c>
      <c r="AW4" s="23" t="s">
        <v>69</v>
      </c>
      <c r="AX4" s="23" t="s">
        <v>69</v>
      </c>
      <c r="AY4" s="47">
        <v>0.0</v>
      </c>
      <c r="AZ4" s="48" t="s">
        <v>118</v>
      </c>
      <c r="BA4" s="49">
        <v>1.0</v>
      </c>
      <c r="BB4" s="50">
        <v>10.0</v>
      </c>
      <c r="BC4" s="51" t="s">
        <v>72</v>
      </c>
      <c r="BD4" s="52">
        <v>0.0</v>
      </c>
      <c r="BE4" s="14" t="s">
        <v>253</v>
      </c>
      <c r="BF4" s="133">
        <v>20.0</v>
      </c>
      <c r="BG4" s="134"/>
      <c r="BH4" s="184"/>
      <c r="BI4" s="144"/>
      <c r="BJ4" s="137"/>
      <c r="BK4" s="137"/>
      <c r="BL4" s="137"/>
      <c r="BM4" s="137"/>
      <c r="BN4" s="137"/>
      <c r="BO4" s="137"/>
      <c r="BP4" s="137"/>
      <c r="BQ4" s="137"/>
      <c r="BR4" s="137"/>
      <c r="BS4" s="185"/>
      <c r="BT4" s="186"/>
      <c r="BU4" s="186"/>
      <c r="BV4" s="187"/>
      <c r="BW4" s="188"/>
      <c r="BX4" s="189"/>
      <c r="BY4" s="189"/>
      <c r="BZ4" s="189"/>
      <c r="CA4" s="189"/>
      <c r="CB4" s="189"/>
      <c r="CC4" s="189"/>
      <c r="CD4" s="189"/>
      <c r="CE4" s="189"/>
      <c r="CF4" s="189"/>
      <c r="CG4" s="189"/>
      <c r="CH4" s="190"/>
    </row>
    <row r="5" ht="14.25" customHeight="1">
      <c r="A5" s="11" t="s">
        <v>120</v>
      </c>
      <c r="B5" s="43"/>
      <c r="C5" s="13"/>
      <c r="D5" s="234">
        <v>4500.0</v>
      </c>
      <c r="E5" s="14" t="s">
        <v>254</v>
      </c>
      <c r="F5" s="5" t="s">
        <v>121</v>
      </c>
      <c r="G5" s="13" t="s">
        <v>115</v>
      </c>
      <c r="H5" s="11" t="s">
        <v>120</v>
      </c>
      <c r="I5" s="13" t="s">
        <v>62</v>
      </c>
      <c r="J5" s="13" t="s">
        <v>63</v>
      </c>
      <c r="K5" s="15">
        <v>8000.0</v>
      </c>
      <c r="L5" s="5" t="s">
        <v>116</v>
      </c>
      <c r="M5" s="43" t="s">
        <v>84</v>
      </c>
      <c r="N5" s="19">
        <v>100.0</v>
      </c>
      <c r="O5" s="44" t="s">
        <v>69</v>
      </c>
      <c r="P5" s="16" t="s">
        <v>66</v>
      </c>
      <c r="Q5" s="17">
        <v>2.01</v>
      </c>
      <c r="R5" s="18" t="s">
        <v>67</v>
      </c>
      <c r="S5" s="19">
        <v>2024.0</v>
      </c>
      <c r="T5" s="20" t="s">
        <v>68</v>
      </c>
      <c r="U5" s="19">
        <v>100.0</v>
      </c>
      <c r="V5" s="19">
        <v>2024.0</v>
      </c>
      <c r="W5" s="19">
        <v>83.07</v>
      </c>
      <c r="X5" s="5">
        <v>25.0</v>
      </c>
      <c r="Y5" s="19">
        <v>2.5</v>
      </c>
      <c r="Z5" s="19">
        <v>6.0</v>
      </c>
      <c r="AA5" s="19">
        <v>7.8</v>
      </c>
      <c r="AB5" s="22">
        <v>0.0</v>
      </c>
      <c r="AC5" s="23" t="s">
        <v>69</v>
      </c>
      <c r="AD5" s="24" t="s">
        <v>70</v>
      </c>
      <c r="AE5" s="25">
        <v>2220.0</v>
      </c>
      <c r="AF5" s="22" t="s">
        <v>71</v>
      </c>
      <c r="AG5" s="22">
        <v>335.4</v>
      </c>
      <c r="AH5" s="22">
        <v>10.7</v>
      </c>
      <c r="AI5" s="22">
        <v>0.0</v>
      </c>
      <c r="AJ5" s="26" t="s">
        <v>72</v>
      </c>
      <c r="AK5" s="27">
        <v>0.0</v>
      </c>
      <c r="AL5" s="23" t="s">
        <v>69</v>
      </c>
      <c r="AM5" s="23" t="s">
        <v>69</v>
      </c>
      <c r="AN5" s="23" t="s">
        <v>69</v>
      </c>
      <c r="AO5" s="23" t="s">
        <v>69</v>
      </c>
      <c r="AP5" s="23" t="s">
        <v>69</v>
      </c>
      <c r="AQ5" s="23" t="s">
        <v>69</v>
      </c>
      <c r="AR5" s="23" t="s">
        <v>69</v>
      </c>
      <c r="AS5" s="23" t="s">
        <v>69</v>
      </c>
      <c r="AT5" s="23" t="s">
        <v>69</v>
      </c>
      <c r="AU5" s="23" t="s">
        <v>69</v>
      </c>
      <c r="AV5" s="23" t="s">
        <v>69</v>
      </c>
      <c r="AW5" s="23" t="s">
        <v>69</v>
      </c>
      <c r="AX5" s="23" t="s">
        <v>69</v>
      </c>
      <c r="AY5" s="47">
        <v>0.0</v>
      </c>
      <c r="AZ5" s="48" t="s">
        <v>118</v>
      </c>
      <c r="BA5" s="49">
        <v>1.0</v>
      </c>
      <c r="BB5" s="50">
        <v>10.0</v>
      </c>
      <c r="BC5" s="51" t="s">
        <v>72</v>
      </c>
      <c r="BD5" s="52">
        <v>0.0</v>
      </c>
      <c r="BE5" s="14" t="s">
        <v>255</v>
      </c>
      <c r="BF5" s="133">
        <v>10.0</v>
      </c>
      <c r="BG5" s="134"/>
      <c r="BH5" s="184"/>
      <c r="BI5" s="144"/>
      <c r="BJ5" s="137"/>
      <c r="BK5" s="137"/>
      <c r="BL5" s="137"/>
      <c r="BM5" s="137"/>
      <c r="BN5" s="137"/>
      <c r="BO5" s="137"/>
      <c r="BP5" s="137"/>
      <c r="BQ5" s="137"/>
      <c r="BR5" s="137"/>
      <c r="BS5" s="185"/>
      <c r="BT5" s="186"/>
      <c r="BU5" s="186"/>
      <c r="BV5" s="187"/>
      <c r="BW5" s="188"/>
      <c r="BX5" s="189"/>
      <c r="BY5" s="189"/>
      <c r="BZ5" s="189"/>
      <c r="CA5" s="189"/>
      <c r="CB5" s="189"/>
      <c r="CC5" s="189"/>
      <c r="CD5" s="189"/>
      <c r="CE5" s="189"/>
      <c r="CF5" s="189"/>
      <c r="CG5" s="189"/>
      <c r="CH5" s="190"/>
    </row>
    <row r="6" ht="14.25" customHeight="1">
      <c r="A6" s="11" t="s">
        <v>120</v>
      </c>
      <c r="B6" s="43"/>
      <c r="C6" s="13"/>
      <c r="D6" s="234">
        <v>4700.0</v>
      </c>
      <c r="E6" s="14" t="s">
        <v>256</v>
      </c>
      <c r="F6" s="5" t="s">
        <v>121</v>
      </c>
      <c r="G6" s="13" t="s">
        <v>115</v>
      </c>
      <c r="H6" s="11" t="s">
        <v>120</v>
      </c>
      <c r="I6" s="13" t="s">
        <v>62</v>
      </c>
      <c r="J6" s="13" t="s">
        <v>63</v>
      </c>
      <c r="K6" s="15">
        <v>8000.0</v>
      </c>
      <c r="L6" s="5" t="s">
        <v>116</v>
      </c>
      <c r="M6" s="43" t="s">
        <v>84</v>
      </c>
      <c r="N6" s="19">
        <v>100.0</v>
      </c>
      <c r="O6" s="44" t="s">
        <v>69</v>
      </c>
      <c r="P6" s="16" t="s">
        <v>66</v>
      </c>
      <c r="Q6" s="17">
        <v>2.01</v>
      </c>
      <c r="R6" s="18" t="s">
        <v>67</v>
      </c>
      <c r="S6" s="19">
        <v>2024.0</v>
      </c>
      <c r="T6" s="20" t="s">
        <v>68</v>
      </c>
      <c r="U6" s="19">
        <v>100.0</v>
      </c>
      <c r="V6" s="19">
        <v>2024.0</v>
      </c>
      <c r="W6" s="19">
        <v>83.07</v>
      </c>
      <c r="X6" s="5">
        <v>25.0</v>
      </c>
      <c r="Y6" s="19">
        <v>2.5</v>
      </c>
      <c r="Z6" s="19">
        <v>6.0</v>
      </c>
      <c r="AA6" s="19">
        <v>7.8</v>
      </c>
      <c r="AB6" s="22">
        <v>0.0</v>
      </c>
      <c r="AC6" s="23" t="s">
        <v>69</v>
      </c>
      <c r="AD6" s="24" t="s">
        <v>70</v>
      </c>
      <c r="AE6" s="25">
        <v>2220.0</v>
      </c>
      <c r="AF6" s="22" t="s">
        <v>71</v>
      </c>
      <c r="AG6" s="22">
        <v>335.4</v>
      </c>
      <c r="AH6" s="22">
        <v>10.7</v>
      </c>
      <c r="AI6" s="22">
        <v>0.0</v>
      </c>
      <c r="AJ6" s="26" t="s">
        <v>72</v>
      </c>
      <c r="AK6" s="27">
        <v>0.0</v>
      </c>
      <c r="AL6" s="23" t="s">
        <v>69</v>
      </c>
      <c r="AM6" s="23" t="s">
        <v>69</v>
      </c>
      <c r="AN6" s="23" t="s">
        <v>69</v>
      </c>
      <c r="AO6" s="23" t="s">
        <v>69</v>
      </c>
      <c r="AP6" s="23" t="s">
        <v>69</v>
      </c>
      <c r="AQ6" s="23" t="s">
        <v>69</v>
      </c>
      <c r="AR6" s="23" t="s">
        <v>69</v>
      </c>
      <c r="AS6" s="23" t="s">
        <v>69</v>
      </c>
      <c r="AT6" s="23" t="s">
        <v>69</v>
      </c>
      <c r="AU6" s="23" t="s">
        <v>69</v>
      </c>
      <c r="AV6" s="23" t="s">
        <v>69</v>
      </c>
      <c r="AW6" s="23" t="s">
        <v>69</v>
      </c>
      <c r="AX6" s="23" t="s">
        <v>69</v>
      </c>
      <c r="AY6" s="47">
        <v>0.0</v>
      </c>
      <c r="AZ6" s="48" t="s">
        <v>118</v>
      </c>
      <c r="BA6" s="49">
        <v>1.0</v>
      </c>
      <c r="BB6" s="50">
        <v>10.0</v>
      </c>
      <c r="BC6" s="51" t="s">
        <v>72</v>
      </c>
      <c r="BD6" s="52">
        <v>0.0</v>
      </c>
      <c r="BE6" s="14" t="s">
        <v>257</v>
      </c>
      <c r="BF6" s="133">
        <v>0.0</v>
      </c>
      <c r="BG6" s="134"/>
      <c r="BH6" s="184"/>
      <c r="BI6" s="144"/>
      <c r="BJ6" s="137"/>
      <c r="BK6" s="137"/>
      <c r="BL6" s="137"/>
      <c r="BM6" s="137"/>
      <c r="BN6" s="137"/>
      <c r="BO6" s="137"/>
      <c r="BP6" s="137"/>
      <c r="BQ6" s="137"/>
      <c r="BR6" s="137"/>
      <c r="BS6" s="185"/>
      <c r="BT6" s="186"/>
      <c r="BU6" s="186"/>
      <c r="BV6" s="187"/>
      <c r="BW6" s="188"/>
      <c r="BX6" s="189"/>
      <c r="BY6" s="189"/>
      <c r="BZ6" s="189"/>
      <c r="CA6" s="189"/>
      <c r="CB6" s="189"/>
      <c r="CC6" s="189"/>
      <c r="CD6" s="189"/>
      <c r="CE6" s="189"/>
      <c r="CF6" s="189"/>
      <c r="CG6" s="189"/>
      <c r="CH6" s="190"/>
    </row>
    <row r="7" ht="14.25" customHeight="1">
      <c r="BC7" s="13"/>
      <c r="BD7" s="13"/>
    </row>
    <row r="8" ht="14.25" customHeight="1">
      <c r="AO8" s="5"/>
      <c r="AP8" s="5"/>
      <c r="BC8" s="13"/>
      <c r="BD8" s="13"/>
    </row>
    <row r="9" ht="14.25" customHeight="1">
      <c r="A9" s="11" t="s">
        <v>123</v>
      </c>
      <c r="C9" s="39"/>
      <c r="D9" s="234">
        <v>2000.0</v>
      </c>
      <c r="E9" s="14" t="s">
        <v>258</v>
      </c>
      <c r="F9" s="5" t="s">
        <v>121</v>
      </c>
      <c r="G9" s="13" t="s">
        <v>115</v>
      </c>
      <c r="H9" s="11" t="s">
        <v>123</v>
      </c>
      <c r="I9" s="5" t="s">
        <v>62</v>
      </c>
      <c r="J9" s="13" t="s">
        <v>63</v>
      </c>
      <c r="K9" s="15">
        <v>8000.0</v>
      </c>
      <c r="L9" s="5" t="s">
        <v>116</v>
      </c>
      <c r="M9" s="39" t="s">
        <v>85</v>
      </c>
      <c r="N9" s="74" t="s">
        <v>69</v>
      </c>
      <c r="O9" s="5">
        <v>0.06713</v>
      </c>
      <c r="P9" s="16" t="s">
        <v>66</v>
      </c>
      <c r="Q9" s="75">
        <v>2.01</v>
      </c>
      <c r="R9" s="18" t="s">
        <v>67</v>
      </c>
      <c r="S9" s="19">
        <v>2024.0</v>
      </c>
      <c r="T9" s="76" t="s">
        <v>68</v>
      </c>
      <c r="U9" s="5">
        <v>100.0</v>
      </c>
      <c r="V9" s="19">
        <v>2024.0</v>
      </c>
      <c r="W9" s="5">
        <v>83.07</v>
      </c>
      <c r="X9" s="5">
        <v>25.0</v>
      </c>
      <c r="Y9" s="5">
        <v>2.5</v>
      </c>
      <c r="Z9" s="5">
        <v>6.0</v>
      </c>
      <c r="AA9" s="19">
        <v>7.8</v>
      </c>
      <c r="AB9" s="22">
        <v>0.0</v>
      </c>
      <c r="AC9" s="23" t="s">
        <v>69</v>
      </c>
      <c r="AD9" s="24" t="s">
        <v>70</v>
      </c>
      <c r="AE9" s="25">
        <v>2220.0</v>
      </c>
      <c r="AF9" s="22" t="s">
        <v>71</v>
      </c>
      <c r="AG9" s="22">
        <v>335.4</v>
      </c>
      <c r="AH9" s="22">
        <v>10.7</v>
      </c>
      <c r="AI9" s="22">
        <v>0.0</v>
      </c>
      <c r="AJ9" s="26" t="s">
        <v>72</v>
      </c>
      <c r="AK9" s="27">
        <v>0.0</v>
      </c>
      <c r="AL9" s="23" t="s">
        <v>69</v>
      </c>
      <c r="AM9" s="23" t="s">
        <v>69</v>
      </c>
      <c r="AN9" s="23" t="s">
        <v>69</v>
      </c>
      <c r="AO9" s="23" t="s">
        <v>69</v>
      </c>
      <c r="AP9" s="23" t="s">
        <v>69</v>
      </c>
      <c r="AQ9" s="23" t="s">
        <v>69</v>
      </c>
      <c r="AR9" s="23" t="s">
        <v>69</v>
      </c>
      <c r="AS9" s="23" t="s">
        <v>69</v>
      </c>
      <c r="AT9" s="23" t="s">
        <v>69</v>
      </c>
      <c r="AU9" s="23" t="s">
        <v>69</v>
      </c>
      <c r="AV9" s="23" t="s">
        <v>69</v>
      </c>
      <c r="AW9" s="23" t="s">
        <v>69</v>
      </c>
      <c r="AX9" s="23" t="s">
        <v>69</v>
      </c>
      <c r="AY9" s="47">
        <v>0.0</v>
      </c>
      <c r="AZ9" s="77" t="s">
        <v>118</v>
      </c>
      <c r="BA9" s="49">
        <v>1.0</v>
      </c>
      <c r="BB9" s="50">
        <v>10.0</v>
      </c>
      <c r="BC9" s="51" t="s">
        <v>72</v>
      </c>
      <c r="BD9" s="52">
        <v>0.0</v>
      </c>
      <c r="BE9" s="14" t="s">
        <v>259</v>
      </c>
      <c r="BF9" s="133">
        <v>80.0</v>
      </c>
      <c r="BG9" s="134"/>
      <c r="BH9" s="184"/>
      <c r="BI9" s="144"/>
      <c r="BJ9" s="137"/>
      <c r="BK9" s="137"/>
      <c r="BL9" s="137"/>
      <c r="BM9" s="137"/>
      <c r="BN9" s="137"/>
      <c r="BO9" s="137"/>
      <c r="BP9" s="137"/>
      <c r="BQ9" s="137"/>
      <c r="BR9" s="137"/>
      <c r="BS9" s="185"/>
      <c r="BT9" s="186"/>
      <c r="BU9" s="186"/>
      <c r="BV9" s="187"/>
      <c r="BW9" s="188"/>
      <c r="BX9" s="189"/>
      <c r="BY9" s="189"/>
      <c r="BZ9" s="189"/>
      <c r="CA9" s="189"/>
      <c r="CB9" s="189"/>
      <c r="CC9" s="189"/>
      <c r="CD9" s="189"/>
      <c r="CE9" s="189"/>
      <c r="CF9" s="189"/>
      <c r="CG9" s="189"/>
      <c r="CH9" s="190"/>
    </row>
    <row r="10" ht="14.25" customHeight="1">
      <c r="A10" s="11" t="s">
        <v>123</v>
      </c>
      <c r="C10" s="39"/>
      <c r="D10" s="234">
        <v>2100.0</v>
      </c>
      <c r="E10" s="14" t="s">
        <v>260</v>
      </c>
      <c r="F10" s="5" t="s">
        <v>121</v>
      </c>
      <c r="G10" s="13" t="s">
        <v>115</v>
      </c>
      <c r="H10" s="11" t="s">
        <v>123</v>
      </c>
      <c r="I10" s="5" t="s">
        <v>62</v>
      </c>
      <c r="J10" s="13" t="s">
        <v>63</v>
      </c>
      <c r="K10" s="15">
        <v>8000.0</v>
      </c>
      <c r="L10" s="5" t="s">
        <v>116</v>
      </c>
      <c r="M10" s="39" t="s">
        <v>85</v>
      </c>
      <c r="N10" s="74" t="s">
        <v>69</v>
      </c>
      <c r="O10" s="5">
        <v>0.06713</v>
      </c>
      <c r="P10" s="16" t="s">
        <v>66</v>
      </c>
      <c r="Q10" s="75">
        <v>2.01</v>
      </c>
      <c r="R10" s="18" t="s">
        <v>67</v>
      </c>
      <c r="S10" s="19">
        <v>2024.0</v>
      </c>
      <c r="T10" s="76" t="s">
        <v>68</v>
      </c>
      <c r="U10" s="5">
        <v>100.0</v>
      </c>
      <c r="V10" s="19">
        <v>2024.0</v>
      </c>
      <c r="W10" s="5">
        <v>83.07</v>
      </c>
      <c r="X10" s="5">
        <v>25.0</v>
      </c>
      <c r="Y10" s="5">
        <v>2.5</v>
      </c>
      <c r="Z10" s="5">
        <v>6.0</v>
      </c>
      <c r="AA10" s="19">
        <v>7.8</v>
      </c>
      <c r="AB10" s="22">
        <v>0.0</v>
      </c>
      <c r="AC10" s="23" t="s">
        <v>69</v>
      </c>
      <c r="AD10" s="24" t="s">
        <v>70</v>
      </c>
      <c r="AE10" s="25">
        <v>2220.0</v>
      </c>
      <c r="AF10" s="22" t="s">
        <v>71</v>
      </c>
      <c r="AG10" s="22">
        <v>335.4</v>
      </c>
      <c r="AH10" s="22">
        <v>10.7</v>
      </c>
      <c r="AI10" s="22">
        <v>0.0</v>
      </c>
      <c r="AJ10" s="26" t="s">
        <v>72</v>
      </c>
      <c r="AK10" s="27">
        <v>0.0</v>
      </c>
      <c r="AL10" s="23" t="s">
        <v>69</v>
      </c>
      <c r="AM10" s="23" t="s">
        <v>69</v>
      </c>
      <c r="AN10" s="23" t="s">
        <v>69</v>
      </c>
      <c r="AO10" s="23" t="s">
        <v>69</v>
      </c>
      <c r="AP10" s="23" t="s">
        <v>69</v>
      </c>
      <c r="AQ10" s="23" t="s">
        <v>69</v>
      </c>
      <c r="AR10" s="23" t="s">
        <v>69</v>
      </c>
      <c r="AS10" s="23" t="s">
        <v>69</v>
      </c>
      <c r="AT10" s="23" t="s">
        <v>69</v>
      </c>
      <c r="AU10" s="23" t="s">
        <v>69</v>
      </c>
      <c r="AV10" s="23" t="s">
        <v>69</v>
      </c>
      <c r="AW10" s="23" t="s">
        <v>69</v>
      </c>
      <c r="AX10" s="23" t="s">
        <v>69</v>
      </c>
      <c r="AY10" s="47">
        <v>0.0</v>
      </c>
      <c r="AZ10" s="77" t="s">
        <v>118</v>
      </c>
      <c r="BA10" s="49">
        <v>1.0</v>
      </c>
      <c r="BB10" s="50">
        <v>10.0</v>
      </c>
      <c r="BC10" s="51" t="s">
        <v>72</v>
      </c>
      <c r="BD10" s="52">
        <v>0.0</v>
      </c>
      <c r="BE10" s="14" t="s">
        <v>261</v>
      </c>
      <c r="BF10" s="133">
        <v>68.0</v>
      </c>
      <c r="BG10" s="134"/>
      <c r="BH10" s="184"/>
      <c r="BI10" s="144"/>
      <c r="BJ10" s="137"/>
      <c r="BK10" s="137"/>
      <c r="BL10" s="137"/>
      <c r="BM10" s="137"/>
      <c r="BN10" s="137"/>
      <c r="BO10" s="137"/>
      <c r="BP10" s="137"/>
      <c r="BQ10" s="137"/>
      <c r="BR10" s="137"/>
      <c r="BS10" s="185"/>
      <c r="BT10" s="186"/>
      <c r="BU10" s="186"/>
      <c r="BV10" s="187"/>
      <c r="BW10" s="188"/>
      <c r="BX10" s="189"/>
      <c r="BY10" s="189"/>
      <c r="BZ10" s="189"/>
      <c r="CA10" s="189"/>
      <c r="CB10" s="189"/>
      <c r="CC10" s="189"/>
      <c r="CD10" s="189"/>
      <c r="CE10" s="189"/>
      <c r="CF10" s="189"/>
      <c r="CG10" s="189"/>
      <c r="CH10" s="190"/>
    </row>
    <row r="11" ht="14.25" customHeight="1">
      <c r="A11" s="11" t="s">
        <v>123</v>
      </c>
      <c r="C11" s="39"/>
      <c r="D11" s="234">
        <v>2200.0</v>
      </c>
      <c r="E11" s="14" t="s">
        <v>262</v>
      </c>
      <c r="F11" s="5" t="s">
        <v>121</v>
      </c>
      <c r="G11" s="13" t="s">
        <v>115</v>
      </c>
      <c r="H11" s="11" t="s">
        <v>123</v>
      </c>
      <c r="I11" s="5" t="s">
        <v>62</v>
      </c>
      <c r="J11" s="13" t="s">
        <v>63</v>
      </c>
      <c r="K11" s="15">
        <v>8000.0</v>
      </c>
      <c r="L11" s="5" t="s">
        <v>116</v>
      </c>
      <c r="M11" s="39" t="s">
        <v>85</v>
      </c>
      <c r="N11" s="74" t="s">
        <v>69</v>
      </c>
      <c r="O11" s="5">
        <v>0.06713</v>
      </c>
      <c r="P11" s="16" t="s">
        <v>66</v>
      </c>
      <c r="Q11" s="75">
        <v>2.01</v>
      </c>
      <c r="R11" s="18" t="s">
        <v>67</v>
      </c>
      <c r="S11" s="19">
        <v>2024.0</v>
      </c>
      <c r="T11" s="76" t="s">
        <v>68</v>
      </c>
      <c r="U11" s="5">
        <v>100.0</v>
      </c>
      <c r="V11" s="19">
        <v>2024.0</v>
      </c>
      <c r="W11" s="5">
        <v>83.07</v>
      </c>
      <c r="X11" s="5">
        <v>25.0</v>
      </c>
      <c r="Y11" s="5">
        <v>2.5</v>
      </c>
      <c r="Z11" s="5">
        <v>6.0</v>
      </c>
      <c r="AA11" s="19">
        <v>7.8</v>
      </c>
      <c r="AB11" s="22">
        <v>0.0</v>
      </c>
      <c r="AC11" s="23" t="s">
        <v>69</v>
      </c>
      <c r="AD11" s="24" t="s">
        <v>70</v>
      </c>
      <c r="AE11" s="25">
        <v>2220.0</v>
      </c>
      <c r="AF11" s="22" t="s">
        <v>71</v>
      </c>
      <c r="AG11" s="22">
        <v>335.4</v>
      </c>
      <c r="AH11" s="22">
        <v>10.7</v>
      </c>
      <c r="AI11" s="22">
        <v>0.0</v>
      </c>
      <c r="AJ11" s="26" t="s">
        <v>72</v>
      </c>
      <c r="AK11" s="27">
        <v>0.0</v>
      </c>
      <c r="AL11" s="23" t="s">
        <v>69</v>
      </c>
      <c r="AM11" s="23" t="s">
        <v>69</v>
      </c>
      <c r="AN11" s="23" t="s">
        <v>69</v>
      </c>
      <c r="AO11" s="23" t="s">
        <v>69</v>
      </c>
      <c r="AP11" s="23" t="s">
        <v>69</v>
      </c>
      <c r="AQ11" s="23" t="s">
        <v>69</v>
      </c>
      <c r="AR11" s="23" t="s">
        <v>69</v>
      </c>
      <c r="AS11" s="23" t="s">
        <v>69</v>
      </c>
      <c r="AT11" s="23" t="s">
        <v>69</v>
      </c>
      <c r="AU11" s="23" t="s">
        <v>69</v>
      </c>
      <c r="AV11" s="23" t="s">
        <v>69</v>
      </c>
      <c r="AW11" s="23" t="s">
        <v>69</v>
      </c>
      <c r="AX11" s="23" t="s">
        <v>69</v>
      </c>
      <c r="AY11" s="47">
        <v>0.0</v>
      </c>
      <c r="AZ11" s="77" t="s">
        <v>118</v>
      </c>
      <c r="BA11" s="49">
        <v>1.0</v>
      </c>
      <c r="BB11" s="50">
        <v>10.0</v>
      </c>
      <c r="BC11" s="51" t="s">
        <v>72</v>
      </c>
      <c r="BD11" s="52">
        <v>0.0</v>
      </c>
      <c r="BE11" s="14" t="s">
        <v>263</v>
      </c>
      <c r="BF11" s="133">
        <v>57.0</v>
      </c>
      <c r="BG11" s="134"/>
      <c r="BH11" s="184"/>
      <c r="BI11" s="144"/>
      <c r="BJ11" s="137"/>
      <c r="BK11" s="137"/>
      <c r="BL11" s="137"/>
      <c r="BM11" s="137"/>
      <c r="BN11" s="137"/>
      <c r="BO11" s="137"/>
      <c r="BP11" s="137"/>
      <c r="BQ11" s="137"/>
      <c r="BR11" s="137"/>
      <c r="BS11" s="185"/>
      <c r="BT11" s="186"/>
      <c r="BU11" s="186"/>
      <c r="BV11" s="187"/>
      <c r="BW11" s="188"/>
      <c r="BX11" s="189"/>
      <c r="BY11" s="189"/>
      <c r="BZ11" s="189"/>
      <c r="CA11" s="189"/>
      <c r="CB11" s="189"/>
      <c r="CC11" s="189"/>
      <c r="CD11" s="189"/>
      <c r="CE11" s="189"/>
      <c r="CF11" s="189"/>
      <c r="CG11" s="189"/>
      <c r="CH11" s="190"/>
    </row>
    <row r="12" ht="14.25" customHeight="1">
      <c r="A12" s="11" t="s">
        <v>123</v>
      </c>
      <c r="C12" s="39"/>
      <c r="D12" s="234">
        <v>2300.0</v>
      </c>
      <c r="E12" s="14" t="s">
        <v>264</v>
      </c>
      <c r="F12" s="5" t="s">
        <v>121</v>
      </c>
      <c r="G12" s="13" t="s">
        <v>115</v>
      </c>
      <c r="H12" s="11" t="s">
        <v>123</v>
      </c>
      <c r="I12" s="5" t="s">
        <v>62</v>
      </c>
      <c r="J12" s="13" t="s">
        <v>63</v>
      </c>
      <c r="K12" s="15">
        <v>8000.0</v>
      </c>
      <c r="L12" s="5" t="s">
        <v>116</v>
      </c>
      <c r="M12" s="39" t="s">
        <v>85</v>
      </c>
      <c r="N12" s="74" t="s">
        <v>69</v>
      </c>
      <c r="O12" s="5">
        <v>0.06713</v>
      </c>
      <c r="P12" s="16" t="s">
        <v>66</v>
      </c>
      <c r="Q12" s="75">
        <v>2.01</v>
      </c>
      <c r="R12" s="18" t="s">
        <v>67</v>
      </c>
      <c r="S12" s="19">
        <v>2024.0</v>
      </c>
      <c r="T12" s="76" t="s">
        <v>68</v>
      </c>
      <c r="U12" s="5">
        <v>100.0</v>
      </c>
      <c r="V12" s="19">
        <v>2024.0</v>
      </c>
      <c r="W12" s="5">
        <v>83.07</v>
      </c>
      <c r="X12" s="5">
        <v>25.0</v>
      </c>
      <c r="Y12" s="5">
        <v>2.5</v>
      </c>
      <c r="Z12" s="5">
        <v>6.0</v>
      </c>
      <c r="AA12" s="19">
        <v>7.8</v>
      </c>
      <c r="AB12" s="22">
        <v>0.0</v>
      </c>
      <c r="AC12" s="23" t="s">
        <v>69</v>
      </c>
      <c r="AD12" s="24" t="s">
        <v>70</v>
      </c>
      <c r="AE12" s="25">
        <v>2220.0</v>
      </c>
      <c r="AF12" s="22" t="s">
        <v>71</v>
      </c>
      <c r="AG12" s="22">
        <v>335.4</v>
      </c>
      <c r="AH12" s="22">
        <v>10.7</v>
      </c>
      <c r="AI12" s="22">
        <v>0.0</v>
      </c>
      <c r="AJ12" s="26" t="s">
        <v>72</v>
      </c>
      <c r="AK12" s="27">
        <v>0.0</v>
      </c>
      <c r="AL12" s="23" t="s">
        <v>69</v>
      </c>
      <c r="AM12" s="23" t="s">
        <v>69</v>
      </c>
      <c r="AN12" s="23" t="s">
        <v>69</v>
      </c>
      <c r="AO12" s="23" t="s">
        <v>69</v>
      </c>
      <c r="AP12" s="23" t="s">
        <v>69</v>
      </c>
      <c r="AQ12" s="23" t="s">
        <v>69</v>
      </c>
      <c r="AR12" s="23" t="s">
        <v>69</v>
      </c>
      <c r="AS12" s="23" t="s">
        <v>69</v>
      </c>
      <c r="AT12" s="23" t="s">
        <v>69</v>
      </c>
      <c r="AU12" s="23" t="s">
        <v>69</v>
      </c>
      <c r="AV12" s="23" t="s">
        <v>69</v>
      </c>
      <c r="AW12" s="23" t="s">
        <v>69</v>
      </c>
      <c r="AX12" s="23" t="s">
        <v>69</v>
      </c>
      <c r="AY12" s="47">
        <v>0.0</v>
      </c>
      <c r="AZ12" s="77" t="s">
        <v>118</v>
      </c>
      <c r="BA12" s="49">
        <v>1.0</v>
      </c>
      <c r="BB12" s="50">
        <v>10.0</v>
      </c>
      <c r="BC12" s="51" t="s">
        <v>72</v>
      </c>
      <c r="BD12" s="52">
        <v>0.0</v>
      </c>
      <c r="BE12" s="14" t="s">
        <v>265</v>
      </c>
      <c r="BF12" s="133">
        <v>49.0</v>
      </c>
      <c r="BG12" s="134"/>
      <c r="BH12" s="184"/>
      <c r="BI12" s="144"/>
      <c r="BJ12" s="137"/>
      <c r="BK12" s="137"/>
      <c r="BL12" s="137"/>
      <c r="BM12" s="137"/>
      <c r="BN12" s="137"/>
      <c r="BO12" s="137"/>
      <c r="BP12" s="137"/>
      <c r="BQ12" s="137"/>
      <c r="BR12" s="137"/>
      <c r="BS12" s="185"/>
      <c r="BT12" s="186"/>
      <c r="BU12" s="186"/>
      <c r="BV12" s="187"/>
      <c r="BW12" s="188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90"/>
    </row>
    <row r="13" ht="14.25" customHeight="1">
      <c r="A13" s="11" t="s">
        <v>123</v>
      </c>
      <c r="C13" s="39"/>
      <c r="D13" s="234">
        <v>2500.0</v>
      </c>
      <c r="E13" s="14" t="s">
        <v>266</v>
      </c>
      <c r="F13" s="5" t="s">
        <v>121</v>
      </c>
      <c r="G13" s="13" t="s">
        <v>115</v>
      </c>
      <c r="H13" s="11" t="s">
        <v>123</v>
      </c>
      <c r="I13" s="5" t="s">
        <v>62</v>
      </c>
      <c r="J13" s="13" t="s">
        <v>63</v>
      </c>
      <c r="K13" s="15">
        <v>8000.0</v>
      </c>
      <c r="L13" s="5" t="s">
        <v>116</v>
      </c>
      <c r="M13" s="39" t="s">
        <v>85</v>
      </c>
      <c r="N13" s="74" t="s">
        <v>69</v>
      </c>
      <c r="O13" s="5">
        <v>0.06713</v>
      </c>
      <c r="P13" s="16" t="s">
        <v>66</v>
      </c>
      <c r="Q13" s="75">
        <v>2.01</v>
      </c>
      <c r="R13" s="18" t="s">
        <v>67</v>
      </c>
      <c r="S13" s="19">
        <v>2024.0</v>
      </c>
      <c r="T13" s="76" t="s">
        <v>68</v>
      </c>
      <c r="U13" s="5">
        <v>100.0</v>
      </c>
      <c r="V13" s="19">
        <v>2024.0</v>
      </c>
      <c r="W13" s="5">
        <v>83.07</v>
      </c>
      <c r="X13" s="5">
        <v>25.0</v>
      </c>
      <c r="Y13" s="5">
        <v>2.5</v>
      </c>
      <c r="Z13" s="5">
        <v>6.0</v>
      </c>
      <c r="AA13" s="19">
        <v>7.8</v>
      </c>
      <c r="AB13" s="22">
        <v>0.0</v>
      </c>
      <c r="AC13" s="23" t="s">
        <v>69</v>
      </c>
      <c r="AD13" s="24" t="s">
        <v>70</v>
      </c>
      <c r="AE13" s="25">
        <v>2220.0</v>
      </c>
      <c r="AF13" s="22" t="s">
        <v>71</v>
      </c>
      <c r="AG13" s="22">
        <v>335.4</v>
      </c>
      <c r="AH13" s="22">
        <v>10.7</v>
      </c>
      <c r="AI13" s="22">
        <v>0.0</v>
      </c>
      <c r="AJ13" s="26" t="s">
        <v>72</v>
      </c>
      <c r="AK13" s="27">
        <v>0.0</v>
      </c>
      <c r="AL13" s="23" t="s">
        <v>69</v>
      </c>
      <c r="AM13" s="23" t="s">
        <v>69</v>
      </c>
      <c r="AN13" s="23" t="s">
        <v>69</v>
      </c>
      <c r="AO13" s="23" t="s">
        <v>69</v>
      </c>
      <c r="AP13" s="23" t="s">
        <v>69</v>
      </c>
      <c r="AQ13" s="23" t="s">
        <v>69</v>
      </c>
      <c r="AR13" s="23" t="s">
        <v>69</v>
      </c>
      <c r="AS13" s="23" t="s">
        <v>69</v>
      </c>
      <c r="AT13" s="23" t="s">
        <v>69</v>
      </c>
      <c r="AU13" s="23" t="s">
        <v>69</v>
      </c>
      <c r="AV13" s="23" t="s">
        <v>69</v>
      </c>
      <c r="AW13" s="23" t="s">
        <v>69</v>
      </c>
      <c r="AX13" s="23" t="s">
        <v>69</v>
      </c>
      <c r="AY13" s="47">
        <v>0.0</v>
      </c>
      <c r="AZ13" s="77" t="s">
        <v>118</v>
      </c>
      <c r="BA13" s="49">
        <v>1.0</v>
      </c>
      <c r="BB13" s="50">
        <v>10.0</v>
      </c>
      <c r="BC13" s="51" t="s">
        <v>72</v>
      </c>
      <c r="BD13" s="52">
        <v>0.0</v>
      </c>
      <c r="BE13" s="14" t="s">
        <v>267</v>
      </c>
      <c r="BF13" s="133">
        <v>39.0</v>
      </c>
      <c r="BG13" s="134"/>
      <c r="BH13" s="184"/>
      <c r="BI13" s="144"/>
      <c r="BJ13" s="137"/>
      <c r="BK13" s="137"/>
      <c r="BL13" s="137"/>
      <c r="BM13" s="137"/>
      <c r="BN13" s="137"/>
      <c r="BO13" s="137"/>
      <c r="BP13" s="137"/>
      <c r="BQ13" s="137"/>
      <c r="BR13" s="137"/>
      <c r="BS13" s="185"/>
      <c r="BT13" s="186"/>
      <c r="BU13" s="186"/>
      <c r="BV13" s="187"/>
      <c r="BW13" s="188"/>
      <c r="BX13" s="189"/>
      <c r="BY13" s="189"/>
      <c r="BZ13" s="189"/>
      <c r="CA13" s="189"/>
      <c r="CB13" s="189"/>
      <c r="CC13" s="189"/>
      <c r="CD13" s="189"/>
      <c r="CE13" s="189"/>
      <c r="CF13" s="189"/>
      <c r="CG13" s="189"/>
      <c r="CH13" s="190"/>
    </row>
    <row r="14" ht="14.25" customHeight="1">
      <c r="A14" s="11" t="s">
        <v>123</v>
      </c>
      <c r="C14" s="39"/>
      <c r="D14" s="234">
        <v>2700.0</v>
      </c>
      <c r="E14" s="14" t="s">
        <v>268</v>
      </c>
      <c r="F14" s="5" t="s">
        <v>121</v>
      </c>
      <c r="G14" s="13" t="s">
        <v>115</v>
      </c>
      <c r="H14" s="11" t="s">
        <v>123</v>
      </c>
      <c r="I14" s="5" t="s">
        <v>62</v>
      </c>
      <c r="J14" s="13" t="s">
        <v>63</v>
      </c>
      <c r="K14" s="15">
        <v>8000.0</v>
      </c>
      <c r="L14" s="5" t="s">
        <v>116</v>
      </c>
      <c r="M14" s="39" t="s">
        <v>85</v>
      </c>
      <c r="N14" s="74" t="s">
        <v>69</v>
      </c>
      <c r="O14" s="5">
        <v>0.06713</v>
      </c>
      <c r="P14" s="16" t="s">
        <v>66</v>
      </c>
      <c r="Q14" s="75">
        <v>2.01</v>
      </c>
      <c r="R14" s="18" t="s">
        <v>67</v>
      </c>
      <c r="S14" s="19">
        <v>2024.0</v>
      </c>
      <c r="T14" s="76" t="s">
        <v>68</v>
      </c>
      <c r="U14" s="5">
        <v>100.0</v>
      </c>
      <c r="V14" s="19">
        <v>2024.0</v>
      </c>
      <c r="W14" s="5">
        <v>83.07</v>
      </c>
      <c r="X14" s="5">
        <v>25.0</v>
      </c>
      <c r="Y14" s="5">
        <v>2.5</v>
      </c>
      <c r="Z14" s="5">
        <v>6.0</v>
      </c>
      <c r="AA14" s="19">
        <v>7.8</v>
      </c>
      <c r="AB14" s="22">
        <v>0.0</v>
      </c>
      <c r="AC14" s="23" t="s">
        <v>69</v>
      </c>
      <c r="AD14" s="24" t="s">
        <v>70</v>
      </c>
      <c r="AE14" s="25">
        <v>2220.0</v>
      </c>
      <c r="AF14" s="22" t="s">
        <v>71</v>
      </c>
      <c r="AG14" s="22">
        <v>335.4</v>
      </c>
      <c r="AH14" s="22">
        <v>10.7</v>
      </c>
      <c r="AI14" s="22">
        <v>0.0</v>
      </c>
      <c r="AJ14" s="26" t="s">
        <v>72</v>
      </c>
      <c r="AK14" s="27">
        <v>0.0</v>
      </c>
      <c r="AL14" s="23" t="s">
        <v>69</v>
      </c>
      <c r="AM14" s="23" t="s">
        <v>69</v>
      </c>
      <c r="AN14" s="23" t="s">
        <v>69</v>
      </c>
      <c r="AO14" s="23" t="s">
        <v>69</v>
      </c>
      <c r="AP14" s="23" t="s">
        <v>69</v>
      </c>
      <c r="AQ14" s="23" t="s">
        <v>69</v>
      </c>
      <c r="AR14" s="23" t="s">
        <v>69</v>
      </c>
      <c r="AS14" s="23" t="s">
        <v>69</v>
      </c>
      <c r="AT14" s="23" t="s">
        <v>69</v>
      </c>
      <c r="AU14" s="23" t="s">
        <v>69</v>
      </c>
      <c r="AV14" s="23" t="s">
        <v>69</v>
      </c>
      <c r="AW14" s="23" t="s">
        <v>69</v>
      </c>
      <c r="AX14" s="23" t="s">
        <v>69</v>
      </c>
      <c r="AY14" s="47">
        <v>0.0</v>
      </c>
      <c r="AZ14" s="77" t="s">
        <v>118</v>
      </c>
      <c r="BA14" s="49">
        <v>1.0</v>
      </c>
      <c r="BB14" s="50">
        <v>10.0</v>
      </c>
      <c r="BC14" s="51" t="s">
        <v>72</v>
      </c>
      <c r="BD14" s="52">
        <v>0.0</v>
      </c>
      <c r="BE14" s="14" t="s">
        <v>269</v>
      </c>
      <c r="BF14" s="133">
        <v>32.0</v>
      </c>
      <c r="BG14" s="134"/>
      <c r="BH14" s="184"/>
      <c r="BI14" s="144"/>
      <c r="BJ14" s="137"/>
      <c r="BK14" s="137"/>
      <c r="BL14" s="137"/>
      <c r="BM14" s="137"/>
      <c r="BN14" s="137"/>
      <c r="BO14" s="137"/>
      <c r="BP14" s="137"/>
      <c r="BQ14" s="137"/>
      <c r="BR14" s="137"/>
      <c r="BS14" s="185"/>
      <c r="BT14" s="186"/>
      <c r="BU14" s="186"/>
      <c r="BV14" s="187"/>
      <c r="BW14" s="188"/>
      <c r="BX14" s="189"/>
      <c r="BY14" s="189"/>
      <c r="BZ14" s="189"/>
      <c r="CA14" s="189"/>
      <c r="CB14" s="189"/>
      <c r="CC14" s="189"/>
      <c r="CD14" s="189"/>
      <c r="CE14" s="189"/>
      <c r="CF14" s="189"/>
      <c r="CG14" s="189"/>
      <c r="CH14" s="190"/>
    </row>
    <row r="15" ht="14.25" customHeight="1">
      <c r="A15" s="11" t="s">
        <v>123</v>
      </c>
      <c r="C15" s="39"/>
      <c r="D15" s="234">
        <v>2900.0</v>
      </c>
      <c r="E15" s="14" t="s">
        <v>270</v>
      </c>
      <c r="F15" s="5" t="s">
        <v>121</v>
      </c>
      <c r="G15" s="13" t="s">
        <v>115</v>
      </c>
      <c r="H15" s="11" t="s">
        <v>123</v>
      </c>
      <c r="I15" s="5" t="s">
        <v>62</v>
      </c>
      <c r="J15" s="13" t="s">
        <v>63</v>
      </c>
      <c r="K15" s="15">
        <v>8000.0</v>
      </c>
      <c r="L15" s="5" t="s">
        <v>116</v>
      </c>
      <c r="M15" s="39" t="s">
        <v>85</v>
      </c>
      <c r="N15" s="74" t="s">
        <v>69</v>
      </c>
      <c r="O15" s="5">
        <v>0.06713</v>
      </c>
      <c r="P15" s="16" t="s">
        <v>66</v>
      </c>
      <c r="Q15" s="75">
        <v>2.01</v>
      </c>
      <c r="R15" s="18" t="s">
        <v>67</v>
      </c>
      <c r="S15" s="19">
        <v>2024.0</v>
      </c>
      <c r="T15" s="76" t="s">
        <v>68</v>
      </c>
      <c r="U15" s="5">
        <v>100.0</v>
      </c>
      <c r="V15" s="19">
        <v>2024.0</v>
      </c>
      <c r="W15" s="5">
        <v>83.07</v>
      </c>
      <c r="X15" s="5">
        <v>25.0</v>
      </c>
      <c r="Y15" s="5">
        <v>2.5</v>
      </c>
      <c r="Z15" s="5">
        <v>6.0</v>
      </c>
      <c r="AA15" s="19">
        <v>7.8</v>
      </c>
      <c r="AB15" s="22">
        <v>0.0</v>
      </c>
      <c r="AC15" s="23" t="s">
        <v>69</v>
      </c>
      <c r="AD15" s="24" t="s">
        <v>70</v>
      </c>
      <c r="AE15" s="25">
        <v>2220.0</v>
      </c>
      <c r="AF15" s="22" t="s">
        <v>71</v>
      </c>
      <c r="AG15" s="22">
        <v>335.4</v>
      </c>
      <c r="AH15" s="22">
        <v>10.7</v>
      </c>
      <c r="AI15" s="22">
        <v>0.0</v>
      </c>
      <c r="AJ15" s="26" t="s">
        <v>72</v>
      </c>
      <c r="AK15" s="27">
        <v>0.0</v>
      </c>
      <c r="AL15" s="23" t="s">
        <v>69</v>
      </c>
      <c r="AM15" s="23" t="s">
        <v>69</v>
      </c>
      <c r="AN15" s="23" t="s">
        <v>69</v>
      </c>
      <c r="AO15" s="23" t="s">
        <v>69</v>
      </c>
      <c r="AP15" s="23" t="s">
        <v>69</v>
      </c>
      <c r="AQ15" s="23" t="s">
        <v>69</v>
      </c>
      <c r="AR15" s="23" t="s">
        <v>69</v>
      </c>
      <c r="AS15" s="23" t="s">
        <v>69</v>
      </c>
      <c r="AT15" s="23" t="s">
        <v>69</v>
      </c>
      <c r="AU15" s="23" t="s">
        <v>69</v>
      </c>
      <c r="AV15" s="23" t="s">
        <v>69</v>
      </c>
      <c r="AW15" s="23" t="s">
        <v>69</v>
      </c>
      <c r="AX15" s="23" t="s">
        <v>69</v>
      </c>
      <c r="AY15" s="47">
        <v>0.0</v>
      </c>
      <c r="AZ15" s="77" t="s">
        <v>118</v>
      </c>
      <c r="BA15" s="49">
        <v>1.0</v>
      </c>
      <c r="BB15" s="50">
        <v>10.0</v>
      </c>
      <c r="BC15" s="51" t="s">
        <v>72</v>
      </c>
      <c r="BD15" s="52">
        <v>0.0</v>
      </c>
      <c r="BE15" s="14" t="s">
        <v>271</v>
      </c>
      <c r="BF15" s="133">
        <v>27.0</v>
      </c>
      <c r="BG15" s="134"/>
      <c r="BH15" s="184"/>
      <c r="BI15" s="144"/>
      <c r="BJ15" s="137"/>
      <c r="BK15" s="137"/>
      <c r="BL15" s="137"/>
      <c r="BM15" s="137"/>
      <c r="BN15" s="137"/>
      <c r="BO15" s="137"/>
      <c r="BP15" s="137"/>
      <c r="BQ15" s="137"/>
      <c r="BR15" s="137"/>
      <c r="BS15" s="185"/>
      <c r="BT15" s="186"/>
      <c r="BU15" s="186"/>
      <c r="BV15" s="187"/>
      <c r="BW15" s="188"/>
      <c r="BX15" s="189"/>
      <c r="BY15" s="189"/>
      <c r="BZ15" s="189"/>
      <c r="CA15" s="189"/>
      <c r="CB15" s="189"/>
      <c r="CC15" s="189"/>
      <c r="CD15" s="189"/>
      <c r="CE15" s="189"/>
      <c r="CF15" s="189"/>
      <c r="CG15" s="189"/>
      <c r="CH15" s="190"/>
    </row>
    <row r="16" ht="14.25" customHeight="1">
      <c r="A16" s="11" t="s">
        <v>123</v>
      </c>
      <c r="C16" s="39"/>
      <c r="D16" s="234">
        <v>3200.0</v>
      </c>
      <c r="E16" s="14" t="s">
        <v>272</v>
      </c>
      <c r="F16" s="5" t="s">
        <v>121</v>
      </c>
      <c r="G16" s="13" t="s">
        <v>115</v>
      </c>
      <c r="H16" s="11" t="s">
        <v>123</v>
      </c>
      <c r="I16" s="5" t="s">
        <v>62</v>
      </c>
      <c r="J16" s="13" t="s">
        <v>63</v>
      </c>
      <c r="K16" s="15">
        <v>8000.0</v>
      </c>
      <c r="L16" s="5" t="s">
        <v>116</v>
      </c>
      <c r="M16" s="39" t="s">
        <v>85</v>
      </c>
      <c r="N16" s="74" t="s">
        <v>69</v>
      </c>
      <c r="O16" s="5">
        <v>0.06713</v>
      </c>
      <c r="P16" s="16" t="s">
        <v>66</v>
      </c>
      <c r="Q16" s="75">
        <v>2.01</v>
      </c>
      <c r="R16" s="18" t="s">
        <v>67</v>
      </c>
      <c r="S16" s="19">
        <v>2024.0</v>
      </c>
      <c r="T16" s="76" t="s">
        <v>68</v>
      </c>
      <c r="U16" s="5">
        <v>100.0</v>
      </c>
      <c r="V16" s="19">
        <v>2024.0</v>
      </c>
      <c r="W16" s="5">
        <v>83.07</v>
      </c>
      <c r="X16" s="5">
        <v>25.0</v>
      </c>
      <c r="Y16" s="5">
        <v>2.5</v>
      </c>
      <c r="Z16" s="5">
        <v>6.0</v>
      </c>
      <c r="AA16" s="19">
        <v>7.8</v>
      </c>
      <c r="AB16" s="22">
        <v>0.0</v>
      </c>
      <c r="AC16" s="23" t="s">
        <v>69</v>
      </c>
      <c r="AD16" s="24" t="s">
        <v>70</v>
      </c>
      <c r="AE16" s="25">
        <v>2220.0</v>
      </c>
      <c r="AF16" s="22" t="s">
        <v>71</v>
      </c>
      <c r="AG16" s="22">
        <v>335.4</v>
      </c>
      <c r="AH16" s="22">
        <v>10.7</v>
      </c>
      <c r="AI16" s="22">
        <v>0.0</v>
      </c>
      <c r="AJ16" s="26" t="s">
        <v>72</v>
      </c>
      <c r="AK16" s="27">
        <v>0.0</v>
      </c>
      <c r="AL16" s="23" t="s">
        <v>69</v>
      </c>
      <c r="AM16" s="23" t="s">
        <v>69</v>
      </c>
      <c r="AN16" s="23" t="s">
        <v>69</v>
      </c>
      <c r="AO16" s="23" t="s">
        <v>69</v>
      </c>
      <c r="AP16" s="23" t="s">
        <v>69</v>
      </c>
      <c r="AQ16" s="23" t="s">
        <v>69</v>
      </c>
      <c r="AR16" s="23" t="s">
        <v>69</v>
      </c>
      <c r="AS16" s="23" t="s">
        <v>69</v>
      </c>
      <c r="AT16" s="23" t="s">
        <v>69</v>
      </c>
      <c r="AU16" s="23" t="s">
        <v>69</v>
      </c>
      <c r="AV16" s="23" t="s">
        <v>69</v>
      </c>
      <c r="AW16" s="23" t="s">
        <v>69</v>
      </c>
      <c r="AX16" s="23" t="s">
        <v>69</v>
      </c>
      <c r="AY16" s="47">
        <v>0.0</v>
      </c>
      <c r="AZ16" s="77" t="s">
        <v>118</v>
      </c>
      <c r="BA16" s="49">
        <v>1.0</v>
      </c>
      <c r="BB16" s="50">
        <v>10.0</v>
      </c>
      <c r="BC16" s="51" t="s">
        <v>72</v>
      </c>
      <c r="BD16" s="52">
        <v>0.0</v>
      </c>
      <c r="BE16" s="14" t="s">
        <v>273</v>
      </c>
      <c r="BF16" s="133">
        <v>21.0</v>
      </c>
      <c r="BG16" s="134"/>
      <c r="BH16" s="184"/>
      <c r="BI16" s="144"/>
      <c r="BJ16" s="137"/>
      <c r="BK16" s="137"/>
      <c r="BL16" s="137"/>
      <c r="BM16" s="137"/>
      <c r="BN16" s="137"/>
      <c r="BO16" s="137"/>
      <c r="BP16" s="137"/>
      <c r="BQ16" s="137"/>
      <c r="BR16" s="137"/>
      <c r="BS16" s="185"/>
      <c r="BT16" s="186"/>
      <c r="BU16" s="186"/>
      <c r="BV16" s="187"/>
      <c r="BW16" s="188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90"/>
    </row>
    <row r="17" ht="14.25" customHeight="1">
      <c r="A17" s="11" t="s">
        <v>123</v>
      </c>
      <c r="C17" s="39"/>
      <c r="D17" s="234">
        <v>3600.0</v>
      </c>
      <c r="E17" s="14" t="s">
        <v>274</v>
      </c>
      <c r="F17" s="5" t="s">
        <v>121</v>
      </c>
      <c r="G17" s="13" t="s">
        <v>115</v>
      </c>
      <c r="H17" s="11" t="s">
        <v>123</v>
      </c>
      <c r="I17" s="5" t="s">
        <v>62</v>
      </c>
      <c r="J17" s="13" t="s">
        <v>63</v>
      </c>
      <c r="K17" s="15">
        <v>8000.0</v>
      </c>
      <c r="L17" s="5" t="s">
        <v>116</v>
      </c>
      <c r="M17" s="39" t="s">
        <v>85</v>
      </c>
      <c r="N17" s="74" t="s">
        <v>69</v>
      </c>
      <c r="O17" s="5">
        <v>0.06713</v>
      </c>
      <c r="P17" s="16" t="s">
        <v>66</v>
      </c>
      <c r="Q17" s="75">
        <v>2.01</v>
      </c>
      <c r="R17" s="18" t="s">
        <v>67</v>
      </c>
      <c r="S17" s="19">
        <v>2024.0</v>
      </c>
      <c r="T17" s="76" t="s">
        <v>68</v>
      </c>
      <c r="U17" s="5">
        <v>100.0</v>
      </c>
      <c r="V17" s="19">
        <v>2024.0</v>
      </c>
      <c r="W17" s="5">
        <v>83.07</v>
      </c>
      <c r="X17" s="5">
        <v>25.0</v>
      </c>
      <c r="Y17" s="5">
        <v>2.5</v>
      </c>
      <c r="Z17" s="5">
        <v>6.0</v>
      </c>
      <c r="AA17" s="19">
        <v>7.8</v>
      </c>
      <c r="AB17" s="22">
        <v>0.0</v>
      </c>
      <c r="AC17" s="23" t="s">
        <v>69</v>
      </c>
      <c r="AD17" s="24" t="s">
        <v>70</v>
      </c>
      <c r="AE17" s="25">
        <v>2220.0</v>
      </c>
      <c r="AF17" s="22" t="s">
        <v>71</v>
      </c>
      <c r="AG17" s="22">
        <v>335.4</v>
      </c>
      <c r="AH17" s="22">
        <v>10.7</v>
      </c>
      <c r="AI17" s="22">
        <v>0.0</v>
      </c>
      <c r="AJ17" s="26" t="s">
        <v>72</v>
      </c>
      <c r="AK17" s="27">
        <v>0.0</v>
      </c>
      <c r="AL17" s="23" t="s">
        <v>69</v>
      </c>
      <c r="AM17" s="23" t="s">
        <v>69</v>
      </c>
      <c r="AN17" s="23" t="s">
        <v>69</v>
      </c>
      <c r="AO17" s="23" t="s">
        <v>69</v>
      </c>
      <c r="AP17" s="23" t="s">
        <v>69</v>
      </c>
      <c r="AQ17" s="23" t="s">
        <v>69</v>
      </c>
      <c r="AR17" s="23" t="s">
        <v>69</v>
      </c>
      <c r="AS17" s="23" t="s">
        <v>69</v>
      </c>
      <c r="AT17" s="23" t="s">
        <v>69</v>
      </c>
      <c r="AU17" s="23" t="s">
        <v>69</v>
      </c>
      <c r="AV17" s="23" t="s">
        <v>69</v>
      </c>
      <c r="AW17" s="23" t="s">
        <v>69</v>
      </c>
      <c r="AX17" s="23" t="s">
        <v>69</v>
      </c>
      <c r="AY17" s="47">
        <v>0.0</v>
      </c>
      <c r="AZ17" s="77" t="s">
        <v>118</v>
      </c>
      <c r="BA17" s="49">
        <v>1.0</v>
      </c>
      <c r="BB17" s="50">
        <v>10.0</v>
      </c>
      <c r="BC17" s="51" t="s">
        <v>72</v>
      </c>
      <c r="BD17" s="52">
        <v>0.0</v>
      </c>
      <c r="BE17" s="14" t="s">
        <v>275</v>
      </c>
      <c r="BF17" s="133">
        <v>17.0</v>
      </c>
      <c r="BG17" s="134"/>
      <c r="BH17" s="184"/>
      <c r="BI17" s="144"/>
      <c r="BJ17" s="137"/>
      <c r="BK17" s="137"/>
      <c r="BL17" s="137"/>
      <c r="BM17" s="137"/>
      <c r="BN17" s="137"/>
      <c r="BO17" s="137"/>
      <c r="BP17" s="137"/>
      <c r="BQ17" s="137"/>
      <c r="BR17" s="137"/>
      <c r="BS17" s="185"/>
      <c r="BT17" s="186"/>
      <c r="BU17" s="186"/>
      <c r="BV17" s="187"/>
      <c r="BW17" s="188"/>
      <c r="BX17" s="189"/>
      <c r="BY17" s="189"/>
      <c r="BZ17" s="189"/>
      <c r="CA17" s="189"/>
      <c r="CB17" s="189"/>
      <c r="CC17" s="189"/>
      <c r="CD17" s="189"/>
      <c r="CE17" s="189"/>
      <c r="CF17" s="189"/>
      <c r="CG17" s="189"/>
      <c r="CH17" s="190"/>
    </row>
    <row r="18" ht="14.25" customHeight="1">
      <c r="A18" s="11" t="s">
        <v>123</v>
      </c>
      <c r="C18" s="39"/>
      <c r="D18" s="234">
        <v>4200.0</v>
      </c>
      <c r="E18" s="14" t="s">
        <v>276</v>
      </c>
      <c r="F18" s="5" t="s">
        <v>121</v>
      </c>
      <c r="G18" s="13" t="s">
        <v>115</v>
      </c>
      <c r="H18" s="11" t="s">
        <v>123</v>
      </c>
      <c r="I18" s="5" t="s">
        <v>62</v>
      </c>
      <c r="J18" s="13" t="s">
        <v>63</v>
      </c>
      <c r="K18" s="15">
        <v>8000.0</v>
      </c>
      <c r="L18" s="5" t="s">
        <v>116</v>
      </c>
      <c r="M18" s="39" t="s">
        <v>85</v>
      </c>
      <c r="N18" s="74" t="s">
        <v>69</v>
      </c>
      <c r="O18" s="5">
        <v>0.06713</v>
      </c>
      <c r="P18" s="16" t="s">
        <v>66</v>
      </c>
      <c r="Q18" s="75">
        <v>2.01</v>
      </c>
      <c r="R18" s="18" t="s">
        <v>67</v>
      </c>
      <c r="S18" s="19">
        <v>2024.0</v>
      </c>
      <c r="T18" s="76" t="s">
        <v>68</v>
      </c>
      <c r="U18" s="5">
        <v>100.0</v>
      </c>
      <c r="V18" s="19">
        <v>2024.0</v>
      </c>
      <c r="W18" s="5">
        <v>83.07</v>
      </c>
      <c r="X18" s="5">
        <v>25.0</v>
      </c>
      <c r="Y18" s="5">
        <v>2.5</v>
      </c>
      <c r="Z18" s="5">
        <v>6.0</v>
      </c>
      <c r="AA18" s="19">
        <v>7.8</v>
      </c>
      <c r="AB18" s="22">
        <v>0.0</v>
      </c>
      <c r="AC18" s="23" t="s">
        <v>69</v>
      </c>
      <c r="AD18" s="24" t="s">
        <v>70</v>
      </c>
      <c r="AE18" s="25">
        <v>2220.0</v>
      </c>
      <c r="AF18" s="22" t="s">
        <v>71</v>
      </c>
      <c r="AG18" s="22">
        <v>335.4</v>
      </c>
      <c r="AH18" s="22">
        <v>10.7</v>
      </c>
      <c r="AI18" s="22">
        <v>0.0</v>
      </c>
      <c r="AJ18" s="26" t="s">
        <v>72</v>
      </c>
      <c r="AK18" s="27">
        <v>0.0</v>
      </c>
      <c r="AL18" s="23" t="s">
        <v>69</v>
      </c>
      <c r="AM18" s="23" t="s">
        <v>69</v>
      </c>
      <c r="AN18" s="23" t="s">
        <v>69</v>
      </c>
      <c r="AO18" s="23" t="s">
        <v>69</v>
      </c>
      <c r="AP18" s="23" t="s">
        <v>69</v>
      </c>
      <c r="AQ18" s="23" t="s">
        <v>69</v>
      </c>
      <c r="AR18" s="23" t="s">
        <v>69</v>
      </c>
      <c r="AS18" s="23" t="s">
        <v>69</v>
      </c>
      <c r="AT18" s="23" t="s">
        <v>69</v>
      </c>
      <c r="AU18" s="23" t="s">
        <v>69</v>
      </c>
      <c r="AV18" s="23" t="s">
        <v>69</v>
      </c>
      <c r="AW18" s="23" t="s">
        <v>69</v>
      </c>
      <c r="AX18" s="23" t="s">
        <v>69</v>
      </c>
      <c r="AY18" s="47">
        <v>0.0</v>
      </c>
      <c r="AZ18" s="77" t="s">
        <v>118</v>
      </c>
      <c r="BA18" s="49">
        <v>1.0</v>
      </c>
      <c r="BB18" s="50">
        <v>10.0</v>
      </c>
      <c r="BC18" s="51" t="s">
        <v>72</v>
      </c>
      <c r="BD18" s="52">
        <v>0.0</v>
      </c>
      <c r="BE18" s="14" t="s">
        <v>277</v>
      </c>
      <c r="BF18" s="133">
        <v>11.0</v>
      </c>
      <c r="BG18" s="134"/>
      <c r="BH18" s="184"/>
      <c r="BI18" s="144"/>
      <c r="BJ18" s="137"/>
      <c r="BK18" s="137"/>
      <c r="BL18" s="137"/>
      <c r="BM18" s="137"/>
      <c r="BN18" s="137"/>
      <c r="BO18" s="137"/>
      <c r="BP18" s="137"/>
      <c r="BQ18" s="137"/>
      <c r="BR18" s="137"/>
      <c r="BS18" s="185"/>
      <c r="BT18" s="186"/>
      <c r="BU18" s="186"/>
      <c r="BV18" s="187"/>
      <c r="BW18" s="188"/>
      <c r="BX18" s="189"/>
      <c r="BY18" s="189"/>
      <c r="BZ18" s="189"/>
      <c r="CA18" s="189"/>
      <c r="CB18" s="189"/>
      <c r="CC18" s="189"/>
      <c r="CD18" s="189"/>
      <c r="CE18" s="189"/>
      <c r="CF18" s="189"/>
      <c r="CG18" s="189"/>
      <c r="CH18" s="190"/>
    </row>
    <row r="19" ht="14.25" customHeight="1">
      <c r="A19" s="11" t="s">
        <v>123</v>
      </c>
      <c r="C19" s="39"/>
      <c r="D19" s="234">
        <v>4800.0</v>
      </c>
      <c r="E19" s="14" t="s">
        <v>278</v>
      </c>
      <c r="F19" s="5" t="s">
        <v>121</v>
      </c>
      <c r="G19" s="13" t="s">
        <v>115</v>
      </c>
      <c r="H19" s="11" t="s">
        <v>123</v>
      </c>
      <c r="I19" s="5" t="s">
        <v>62</v>
      </c>
      <c r="J19" s="13" t="s">
        <v>63</v>
      </c>
      <c r="K19" s="15">
        <v>8000.0</v>
      </c>
      <c r="L19" s="5" t="s">
        <v>116</v>
      </c>
      <c r="M19" s="39" t="s">
        <v>85</v>
      </c>
      <c r="N19" s="74" t="s">
        <v>69</v>
      </c>
      <c r="O19" s="5">
        <v>0.06713</v>
      </c>
      <c r="P19" s="16" t="s">
        <v>66</v>
      </c>
      <c r="Q19" s="75">
        <v>2.01</v>
      </c>
      <c r="R19" s="18" t="s">
        <v>67</v>
      </c>
      <c r="S19" s="19">
        <v>2024.0</v>
      </c>
      <c r="T19" s="76" t="s">
        <v>68</v>
      </c>
      <c r="U19" s="5">
        <v>100.0</v>
      </c>
      <c r="V19" s="19">
        <v>2024.0</v>
      </c>
      <c r="W19" s="5">
        <v>83.07</v>
      </c>
      <c r="X19" s="5">
        <v>25.0</v>
      </c>
      <c r="Y19" s="5">
        <v>2.5</v>
      </c>
      <c r="Z19" s="5">
        <v>6.0</v>
      </c>
      <c r="AA19" s="19">
        <v>7.8</v>
      </c>
      <c r="AB19" s="22">
        <v>0.0</v>
      </c>
      <c r="AC19" s="23" t="s">
        <v>69</v>
      </c>
      <c r="AD19" s="24" t="s">
        <v>70</v>
      </c>
      <c r="AE19" s="25">
        <v>2220.0</v>
      </c>
      <c r="AF19" s="22" t="s">
        <v>71</v>
      </c>
      <c r="AG19" s="22">
        <v>335.4</v>
      </c>
      <c r="AH19" s="22">
        <v>10.7</v>
      </c>
      <c r="AI19" s="22">
        <v>0.0</v>
      </c>
      <c r="AJ19" s="26" t="s">
        <v>72</v>
      </c>
      <c r="AK19" s="27">
        <v>0.0</v>
      </c>
      <c r="AL19" s="23" t="s">
        <v>69</v>
      </c>
      <c r="AM19" s="23" t="s">
        <v>69</v>
      </c>
      <c r="AN19" s="23" t="s">
        <v>69</v>
      </c>
      <c r="AO19" s="23" t="s">
        <v>69</v>
      </c>
      <c r="AP19" s="23" t="s">
        <v>69</v>
      </c>
      <c r="AQ19" s="23" t="s">
        <v>69</v>
      </c>
      <c r="AR19" s="23" t="s">
        <v>69</v>
      </c>
      <c r="AS19" s="23" t="s">
        <v>69</v>
      </c>
      <c r="AT19" s="23" t="s">
        <v>69</v>
      </c>
      <c r="AU19" s="23" t="s">
        <v>69</v>
      </c>
      <c r="AV19" s="23" t="s">
        <v>69</v>
      </c>
      <c r="AW19" s="23" t="s">
        <v>69</v>
      </c>
      <c r="AX19" s="23" t="s">
        <v>69</v>
      </c>
      <c r="AY19" s="47">
        <v>0.0</v>
      </c>
      <c r="AZ19" s="77" t="s">
        <v>118</v>
      </c>
      <c r="BA19" s="49">
        <v>1.0</v>
      </c>
      <c r="BB19" s="50">
        <v>10.0</v>
      </c>
      <c r="BC19" s="51" t="s">
        <v>72</v>
      </c>
      <c r="BD19" s="52">
        <v>0.0</v>
      </c>
      <c r="BE19" s="14" t="s">
        <v>279</v>
      </c>
      <c r="BF19" s="133">
        <v>0.0</v>
      </c>
      <c r="BG19" s="134"/>
      <c r="BH19" s="184"/>
      <c r="BI19" s="144"/>
      <c r="BJ19" s="137"/>
      <c r="BK19" s="137"/>
      <c r="BL19" s="137"/>
      <c r="BM19" s="137"/>
      <c r="BN19" s="137"/>
      <c r="BO19" s="137"/>
      <c r="BP19" s="137"/>
      <c r="BQ19" s="137"/>
      <c r="BR19" s="137"/>
      <c r="BS19" s="185"/>
      <c r="BT19" s="186"/>
      <c r="BU19" s="186"/>
      <c r="BV19" s="187"/>
      <c r="BW19" s="188"/>
      <c r="BX19" s="189"/>
      <c r="BY19" s="189"/>
      <c r="BZ19" s="189"/>
      <c r="CA19" s="189"/>
      <c r="CB19" s="189"/>
      <c r="CC19" s="189"/>
      <c r="CD19" s="189"/>
      <c r="CE19" s="189"/>
      <c r="CF19" s="189"/>
      <c r="CG19" s="189"/>
      <c r="CH19" s="190"/>
    </row>
    <row r="20" ht="14.25" customHeight="1">
      <c r="BC20" s="13"/>
      <c r="BD20" s="13"/>
    </row>
    <row r="21" ht="14.25" customHeight="1">
      <c r="BC21" s="13"/>
      <c r="BD21" s="13"/>
    </row>
    <row r="22" ht="14.25" customHeight="1">
      <c r="BC22" s="13"/>
      <c r="BD22" s="13"/>
    </row>
    <row r="23" ht="14.25" customHeight="1">
      <c r="BC23" s="13"/>
      <c r="BD23" s="13"/>
    </row>
    <row r="24" ht="14.25" customHeight="1">
      <c r="BC24" s="13"/>
      <c r="BD24" s="13"/>
    </row>
    <row r="25" ht="14.25" customHeight="1">
      <c r="BC25" s="13"/>
      <c r="BD25" s="13"/>
    </row>
    <row r="26" ht="14.25" customHeight="1">
      <c r="BC26" s="13"/>
      <c r="BD26" s="13"/>
    </row>
    <row r="27" ht="14.25" customHeight="1">
      <c r="BC27" s="13"/>
      <c r="BD27" s="13"/>
    </row>
    <row r="28" ht="14.25" customHeight="1">
      <c r="BC28" s="13"/>
      <c r="BD28" s="13"/>
    </row>
    <row r="29" ht="14.25" customHeight="1">
      <c r="BC29" s="13"/>
      <c r="BD29" s="13"/>
    </row>
    <row r="30" ht="14.25" customHeight="1">
      <c r="BC30" s="13"/>
      <c r="BD30" s="13"/>
    </row>
    <row r="31" ht="14.25" customHeight="1">
      <c r="BC31" s="13"/>
      <c r="BD31" s="13"/>
    </row>
    <row r="32" ht="14.25" customHeight="1">
      <c r="BC32" s="13"/>
      <c r="BD32" s="13"/>
    </row>
    <row r="33" ht="14.25" customHeight="1">
      <c r="BC33" s="13"/>
      <c r="BD33" s="13"/>
    </row>
    <row r="34" ht="14.25" customHeight="1">
      <c r="BC34" s="13"/>
      <c r="BD34" s="13"/>
    </row>
    <row r="35" ht="14.25" customHeight="1">
      <c r="BC35" s="13"/>
      <c r="BD35" s="13"/>
    </row>
    <row r="36" ht="14.25" customHeight="1">
      <c r="BC36" s="13"/>
      <c r="BD36" s="13"/>
    </row>
    <row r="37" ht="14.25" customHeight="1">
      <c r="BC37" s="13"/>
      <c r="BD37" s="13"/>
    </row>
    <row r="38" ht="14.25" customHeight="1">
      <c r="BC38" s="13"/>
      <c r="BD38" s="13"/>
    </row>
    <row r="39" ht="14.25" customHeight="1">
      <c r="BC39" s="13"/>
      <c r="BD39" s="13"/>
    </row>
    <row r="40" ht="14.25" customHeight="1">
      <c r="BC40" s="13"/>
      <c r="BD40" s="13"/>
    </row>
    <row r="41" ht="14.25" customHeight="1">
      <c r="BC41" s="13"/>
      <c r="BD41" s="13"/>
    </row>
    <row r="42" ht="14.25" customHeight="1">
      <c r="BC42" s="13"/>
      <c r="BD42" s="13"/>
    </row>
    <row r="43" ht="14.25" customHeight="1">
      <c r="BC43" s="13"/>
      <c r="BD43" s="13"/>
    </row>
    <row r="44" ht="14.25" customHeight="1">
      <c r="BC44" s="13"/>
      <c r="BD44" s="13"/>
    </row>
    <row r="45" ht="14.25" customHeight="1">
      <c r="BC45" s="13"/>
      <c r="BD45" s="13"/>
    </row>
    <row r="46" ht="14.25" customHeight="1">
      <c r="BC46" s="13"/>
      <c r="BD46" s="13"/>
    </row>
    <row r="47" ht="14.25" customHeight="1">
      <c r="BC47" s="13"/>
      <c r="BD47" s="13"/>
    </row>
    <row r="48" ht="14.25" customHeight="1">
      <c r="BC48" s="13"/>
      <c r="BD48" s="13"/>
    </row>
    <row r="49" ht="14.25" customHeight="1">
      <c r="BC49" s="13"/>
      <c r="BD49" s="13"/>
    </row>
    <row r="50" ht="14.25" customHeight="1">
      <c r="BC50" s="13"/>
      <c r="BD50" s="13"/>
    </row>
    <row r="51" ht="14.25" customHeight="1">
      <c r="BC51" s="13"/>
      <c r="BD51" s="13"/>
    </row>
    <row r="52" ht="14.25" customHeight="1">
      <c r="BC52" s="13"/>
      <c r="BD52" s="13"/>
    </row>
    <row r="53" ht="14.25" customHeight="1">
      <c r="BC53" s="13"/>
      <c r="BD53" s="13"/>
    </row>
    <row r="54" ht="14.25" customHeight="1">
      <c r="BC54" s="13"/>
      <c r="BD54" s="13"/>
    </row>
    <row r="55" ht="14.25" customHeight="1">
      <c r="BC55" s="13"/>
      <c r="BD55" s="13"/>
    </row>
    <row r="56" ht="14.25" customHeight="1">
      <c r="BC56" s="13"/>
      <c r="BD56" s="13"/>
    </row>
    <row r="57" ht="14.25" customHeight="1">
      <c r="BC57" s="13"/>
      <c r="BD57" s="13"/>
    </row>
    <row r="58" ht="14.25" customHeight="1">
      <c r="BC58" s="13"/>
      <c r="BD58" s="13"/>
    </row>
    <row r="59" ht="14.25" customHeight="1">
      <c r="BC59" s="13"/>
      <c r="BD59" s="13"/>
    </row>
    <row r="60" ht="14.25" customHeight="1">
      <c r="BC60" s="13"/>
      <c r="BD60" s="13"/>
    </row>
    <row r="61" ht="14.25" customHeight="1">
      <c r="BC61" s="13"/>
      <c r="BD61" s="13"/>
    </row>
    <row r="62" ht="14.25" customHeight="1">
      <c r="BC62" s="13"/>
      <c r="BD62" s="13"/>
    </row>
    <row r="63" ht="14.25" customHeight="1">
      <c r="BC63" s="13"/>
      <c r="BD63" s="13"/>
    </row>
    <row r="64" ht="14.25" customHeight="1">
      <c r="BC64" s="13"/>
      <c r="BD64" s="13"/>
    </row>
    <row r="65" ht="14.25" customHeight="1">
      <c r="BC65" s="13"/>
      <c r="BD65" s="13"/>
    </row>
    <row r="66" ht="14.25" customHeight="1">
      <c r="BC66" s="13"/>
      <c r="BD66" s="13"/>
    </row>
    <row r="67" ht="14.25" customHeight="1">
      <c r="BC67" s="13"/>
      <c r="BD67" s="13"/>
    </row>
    <row r="68" ht="14.25" customHeight="1">
      <c r="BC68" s="13"/>
      <c r="BD68" s="13"/>
    </row>
    <row r="69" ht="14.25" customHeight="1">
      <c r="BC69" s="13"/>
      <c r="BD69" s="13"/>
    </row>
    <row r="70" ht="14.25" customHeight="1">
      <c r="BC70" s="13"/>
      <c r="BD70" s="13"/>
    </row>
    <row r="71" ht="14.25" customHeight="1">
      <c r="BC71" s="13"/>
      <c r="BD71" s="13"/>
    </row>
    <row r="72" ht="14.25" customHeight="1">
      <c r="BC72" s="13"/>
      <c r="BD72" s="13"/>
    </row>
    <row r="73" ht="14.25" customHeight="1">
      <c r="BC73" s="13"/>
      <c r="BD73" s="13"/>
    </row>
    <row r="74" ht="14.25" customHeight="1">
      <c r="BC74" s="13"/>
      <c r="BD74" s="13"/>
    </row>
    <row r="75" ht="14.25" customHeight="1">
      <c r="BC75" s="13"/>
      <c r="BD75" s="13"/>
    </row>
    <row r="76" ht="14.25" customHeight="1">
      <c r="BC76" s="13"/>
      <c r="BD76" s="13"/>
    </row>
    <row r="77" ht="14.25" customHeight="1">
      <c r="BC77" s="13"/>
      <c r="BD77" s="13"/>
    </row>
    <row r="78" ht="14.25" customHeight="1">
      <c r="BC78" s="13"/>
      <c r="BD78" s="13"/>
    </row>
    <row r="79" ht="14.25" customHeight="1">
      <c r="BC79" s="13"/>
      <c r="BD79" s="13"/>
    </row>
    <row r="80" ht="14.25" customHeight="1">
      <c r="BC80" s="13"/>
      <c r="BD80" s="13"/>
    </row>
    <row r="81" ht="14.25" customHeight="1">
      <c r="BC81" s="13"/>
      <c r="BD81" s="13"/>
    </row>
    <row r="82" ht="14.25" customHeight="1">
      <c r="BC82" s="13"/>
      <c r="BD82" s="13"/>
    </row>
    <row r="83" ht="14.25" customHeight="1">
      <c r="BC83" s="13"/>
      <c r="BD83" s="13"/>
    </row>
    <row r="84" ht="14.25" customHeight="1">
      <c r="BC84" s="13"/>
      <c r="BD84" s="13"/>
    </row>
    <row r="85" ht="14.25" customHeight="1">
      <c r="BC85" s="13"/>
      <c r="BD85" s="13"/>
    </row>
    <row r="86" ht="14.25" customHeight="1">
      <c r="BC86" s="13"/>
      <c r="BD86" s="13"/>
    </row>
    <row r="87" ht="14.25" customHeight="1">
      <c r="BC87" s="13"/>
      <c r="BD87" s="13"/>
    </row>
    <row r="88" ht="14.25" customHeight="1">
      <c r="BC88" s="13"/>
      <c r="BD88" s="13"/>
    </row>
    <row r="89" ht="14.25" customHeight="1">
      <c r="BC89" s="13"/>
      <c r="BD89" s="13"/>
    </row>
    <row r="90" ht="14.25" customHeight="1">
      <c r="BC90" s="13"/>
      <c r="BD90" s="13"/>
    </row>
    <row r="91" ht="14.25" customHeight="1">
      <c r="BC91" s="13"/>
      <c r="BD91" s="13"/>
    </row>
    <row r="92" ht="14.25" customHeight="1">
      <c r="BC92" s="13"/>
      <c r="BD92" s="13"/>
    </row>
    <row r="93" ht="14.25" customHeight="1">
      <c r="BC93" s="13"/>
      <c r="BD93" s="13"/>
    </row>
    <row r="94" ht="14.25" customHeight="1">
      <c r="BC94" s="13"/>
      <c r="BD94" s="13"/>
    </row>
    <row r="95" ht="14.25" customHeight="1">
      <c r="BC95" s="13"/>
      <c r="BD95" s="13"/>
    </row>
    <row r="96" ht="14.25" customHeight="1">
      <c r="BC96" s="13"/>
      <c r="BD96" s="13"/>
    </row>
    <row r="97" ht="14.25" customHeight="1">
      <c r="BC97" s="13"/>
      <c r="BD97" s="13"/>
    </row>
    <row r="98" ht="14.25" customHeight="1">
      <c r="BC98" s="13"/>
      <c r="BD98" s="13"/>
    </row>
    <row r="99" ht="14.25" customHeight="1">
      <c r="BC99" s="13"/>
      <c r="BD99" s="13"/>
    </row>
    <row r="100" ht="14.25" customHeight="1">
      <c r="BC100" s="13"/>
      <c r="BD100" s="13"/>
    </row>
    <row r="101" ht="14.25" customHeight="1">
      <c r="BC101" s="13"/>
      <c r="BD101" s="13"/>
    </row>
    <row r="102" ht="14.25" customHeight="1">
      <c r="BC102" s="13"/>
      <c r="BD102" s="13"/>
    </row>
    <row r="103" ht="14.25" customHeight="1">
      <c r="BC103" s="13"/>
      <c r="BD103" s="13"/>
    </row>
    <row r="104" ht="14.25" customHeight="1">
      <c r="BC104" s="13"/>
      <c r="BD104" s="13"/>
    </row>
    <row r="105" ht="14.25" customHeight="1">
      <c r="BC105" s="13"/>
      <c r="BD105" s="13"/>
    </row>
    <row r="106" ht="14.25" customHeight="1">
      <c r="BC106" s="13"/>
      <c r="BD106" s="13"/>
    </row>
    <row r="107" ht="14.25" customHeight="1">
      <c r="BC107" s="13"/>
      <c r="BD107" s="13"/>
    </row>
    <row r="108" ht="14.25" customHeight="1">
      <c r="BC108" s="13"/>
      <c r="BD108" s="13"/>
    </row>
    <row r="109" ht="14.25" customHeight="1">
      <c r="BC109" s="13"/>
      <c r="BD109" s="13"/>
    </row>
    <row r="110" ht="14.25" customHeight="1">
      <c r="BC110" s="13"/>
      <c r="BD110" s="13"/>
    </row>
    <row r="111" ht="14.25" customHeight="1">
      <c r="BC111" s="13"/>
      <c r="BD111" s="13"/>
    </row>
    <row r="112" ht="14.25" customHeight="1">
      <c r="BC112" s="13"/>
      <c r="BD112" s="13"/>
    </row>
    <row r="113" ht="14.25" customHeight="1">
      <c r="BC113" s="13"/>
      <c r="BD113" s="13"/>
    </row>
    <row r="114" ht="14.25" customHeight="1">
      <c r="BC114" s="13"/>
      <c r="BD114" s="13"/>
    </row>
    <row r="115" ht="14.25" customHeight="1">
      <c r="BC115" s="13"/>
      <c r="BD115" s="13"/>
    </row>
    <row r="116" ht="14.25" customHeight="1">
      <c r="BC116" s="13"/>
      <c r="BD116" s="13"/>
    </row>
    <row r="117" ht="14.25" customHeight="1">
      <c r="BC117" s="13"/>
      <c r="BD117" s="13"/>
    </row>
    <row r="118" ht="14.25" customHeight="1">
      <c r="BC118" s="13"/>
      <c r="BD118" s="13"/>
    </row>
    <row r="119" ht="14.25" customHeight="1">
      <c r="BC119" s="13"/>
      <c r="BD119" s="13"/>
    </row>
    <row r="120" ht="14.25" customHeight="1">
      <c r="BC120" s="13"/>
      <c r="BD120" s="13"/>
    </row>
    <row r="121" ht="14.25" customHeight="1">
      <c r="BC121" s="13"/>
      <c r="BD121" s="13"/>
    </row>
    <row r="122" ht="14.25" customHeight="1">
      <c r="BC122" s="13"/>
      <c r="BD122" s="13"/>
    </row>
    <row r="123" ht="14.25" customHeight="1">
      <c r="BC123" s="13"/>
      <c r="BD123" s="13"/>
    </row>
    <row r="124" ht="14.25" customHeight="1">
      <c r="BC124" s="13"/>
      <c r="BD124" s="13"/>
    </row>
    <row r="125" ht="14.25" customHeight="1">
      <c r="BC125" s="13"/>
      <c r="BD125" s="13"/>
    </row>
    <row r="126" ht="14.25" customHeight="1">
      <c r="BC126" s="13"/>
      <c r="BD126" s="13"/>
    </row>
    <row r="127" ht="14.25" customHeight="1">
      <c r="BC127" s="13"/>
      <c r="BD127" s="13"/>
    </row>
    <row r="128" ht="14.25" customHeight="1">
      <c r="BC128" s="13"/>
      <c r="BD128" s="13"/>
    </row>
    <row r="129" ht="14.25" customHeight="1">
      <c r="BC129" s="13"/>
      <c r="BD129" s="13"/>
    </row>
    <row r="130" ht="14.25" customHeight="1">
      <c r="BC130" s="13"/>
      <c r="BD130" s="13"/>
    </row>
    <row r="131" ht="14.25" customHeight="1">
      <c r="BC131" s="13"/>
      <c r="BD131" s="13"/>
    </row>
    <row r="132" ht="14.25" customHeight="1">
      <c r="BC132" s="13"/>
      <c r="BD132" s="13"/>
    </row>
    <row r="133" ht="14.25" customHeight="1">
      <c r="BC133" s="13"/>
      <c r="BD133" s="13"/>
    </row>
    <row r="134" ht="14.25" customHeight="1">
      <c r="BC134" s="13"/>
      <c r="BD134" s="13"/>
    </row>
    <row r="135" ht="14.25" customHeight="1">
      <c r="BC135" s="13"/>
      <c r="BD135" s="13"/>
    </row>
    <row r="136" ht="14.25" customHeight="1">
      <c r="BC136" s="13"/>
      <c r="BD136" s="13"/>
    </row>
    <row r="137" ht="14.25" customHeight="1">
      <c r="BC137" s="13"/>
      <c r="BD137" s="13"/>
    </row>
    <row r="138" ht="14.25" customHeight="1">
      <c r="BC138" s="13"/>
      <c r="BD138" s="13"/>
    </row>
    <row r="139" ht="14.25" customHeight="1">
      <c r="BC139" s="13"/>
      <c r="BD139" s="13"/>
    </row>
    <row r="140" ht="14.25" customHeight="1">
      <c r="BC140" s="13"/>
      <c r="BD140" s="13"/>
    </row>
    <row r="141" ht="14.25" customHeight="1">
      <c r="BC141" s="13"/>
      <c r="BD141" s="13"/>
    </row>
    <row r="142" ht="14.25" customHeight="1">
      <c r="BC142" s="13"/>
      <c r="BD142" s="13"/>
    </row>
    <row r="143" ht="14.25" customHeight="1">
      <c r="BC143" s="13"/>
      <c r="BD143" s="13"/>
    </row>
    <row r="144" ht="14.25" customHeight="1">
      <c r="BC144" s="13"/>
      <c r="BD144" s="13"/>
    </row>
    <row r="145" ht="14.25" customHeight="1">
      <c r="BC145" s="13"/>
      <c r="BD145" s="13"/>
    </row>
    <row r="146" ht="14.25" customHeight="1">
      <c r="BC146" s="13"/>
      <c r="BD146" s="13"/>
    </row>
    <row r="147" ht="14.25" customHeight="1">
      <c r="BC147" s="13"/>
      <c r="BD147" s="13"/>
    </row>
    <row r="148" ht="14.25" customHeight="1">
      <c r="BC148" s="13"/>
      <c r="BD148" s="13"/>
    </row>
    <row r="149" ht="14.25" customHeight="1">
      <c r="BC149" s="13"/>
      <c r="BD149" s="13"/>
    </row>
    <row r="150" ht="14.25" customHeight="1">
      <c r="BC150" s="13"/>
      <c r="BD150" s="13"/>
    </row>
    <row r="151" ht="14.25" customHeight="1">
      <c r="BC151" s="13"/>
      <c r="BD151" s="13"/>
    </row>
    <row r="152" ht="14.25" customHeight="1">
      <c r="BC152" s="13"/>
      <c r="BD152" s="13"/>
    </row>
    <row r="153" ht="14.25" customHeight="1">
      <c r="BC153" s="13"/>
      <c r="BD153" s="13"/>
    </row>
    <row r="154" ht="14.25" customHeight="1">
      <c r="BC154" s="13"/>
      <c r="BD154" s="13"/>
    </row>
    <row r="155" ht="14.25" customHeight="1">
      <c r="BC155" s="13"/>
      <c r="BD155" s="13"/>
    </row>
    <row r="156" ht="14.25" customHeight="1">
      <c r="BC156" s="13"/>
      <c r="BD156" s="13"/>
    </row>
    <row r="157" ht="14.25" customHeight="1">
      <c r="BC157" s="13"/>
      <c r="BD157" s="13"/>
    </row>
    <row r="158" ht="14.25" customHeight="1">
      <c r="BC158" s="13"/>
      <c r="BD158" s="13"/>
    </row>
    <row r="159" ht="14.25" customHeight="1">
      <c r="BC159" s="13"/>
      <c r="BD159" s="13"/>
    </row>
    <row r="160" ht="14.25" customHeight="1">
      <c r="BC160" s="13"/>
      <c r="BD160" s="13"/>
    </row>
    <row r="161" ht="14.25" customHeight="1">
      <c r="BC161" s="13"/>
      <c r="BD161" s="13"/>
    </row>
    <row r="162" ht="14.25" customHeight="1">
      <c r="BC162" s="13"/>
      <c r="BD162" s="13"/>
    </row>
    <row r="163" ht="14.25" customHeight="1">
      <c r="BC163" s="13"/>
      <c r="BD163" s="13"/>
    </row>
    <row r="164" ht="14.25" customHeight="1">
      <c r="BC164" s="13"/>
      <c r="BD164" s="13"/>
    </row>
    <row r="165" ht="14.25" customHeight="1">
      <c r="BC165" s="13"/>
      <c r="BD165" s="13"/>
    </row>
    <row r="166" ht="14.25" customHeight="1">
      <c r="BC166" s="13"/>
      <c r="BD166" s="13"/>
    </row>
    <row r="167" ht="14.25" customHeight="1">
      <c r="BC167" s="13"/>
      <c r="BD167" s="13"/>
    </row>
    <row r="168" ht="14.25" customHeight="1">
      <c r="BC168" s="13"/>
      <c r="BD168" s="13"/>
    </row>
    <row r="169" ht="14.25" customHeight="1">
      <c r="BC169" s="13"/>
      <c r="BD169" s="13"/>
    </row>
    <row r="170" ht="14.25" customHeight="1">
      <c r="BC170" s="13"/>
      <c r="BD170" s="13"/>
    </row>
    <row r="171" ht="14.25" customHeight="1">
      <c r="BC171" s="13"/>
      <c r="BD171" s="13"/>
    </row>
    <row r="172" ht="14.25" customHeight="1">
      <c r="BC172" s="13"/>
      <c r="BD172" s="13"/>
    </row>
    <row r="173" ht="14.25" customHeight="1">
      <c r="BC173" s="13"/>
      <c r="BD173" s="13"/>
    </row>
    <row r="174" ht="14.25" customHeight="1">
      <c r="BC174" s="13"/>
      <c r="BD174" s="13"/>
    </row>
    <row r="175" ht="14.25" customHeight="1">
      <c r="BC175" s="13"/>
      <c r="BD175" s="13"/>
    </row>
    <row r="176" ht="14.25" customHeight="1">
      <c r="BC176" s="13"/>
      <c r="BD176" s="13"/>
    </row>
    <row r="177" ht="14.25" customHeight="1">
      <c r="BC177" s="13"/>
      <c r="BD177" s="13"/>
    </row>
    <row r="178" ht="14.25" customHeight="1">
      <c r="BC178" s="13"/>
      <c r="BD178" s="13"/>
    </row>
    <row r="179" ht="14.25" customHeight="1">
      <c r="BC179" s="13"/>
      <c r="BD179" s="13"/>
    </row>
    <row r="180" ht="14.25" customHeight="1">
      <c r="BC180" s="13"/>
      <c r="BD180" s="13"/>
    </row>
    <row r="181" ht="14.25" customHeight="1">
      <c r="BC181" s="13"/>
      <c r="BD181" s="13"/>
    </row>
    <row r="182" ht="14.25" customHeight="1">
      <c r="BC182" s="13"/>
      <c r="BD182" s="13"/>
    </row>
    <row r="183" ht="14.25" customHeight="1">
      <c r="BC183" s="13"/>
      <c r="BD183" s="13"/>
    </row>
    <row r="184" ht="14.25" customHeight="1">
      <c r="BC184" s="13"/>
      <c r="BD184" s="13"/>
    </row>
    <row r="185" ht="14.25" customHeight="1">
      <c r="BC185" s="13"/>
      <c r="BD185" s="13"/>
    </row>
    <row r="186" ht="14.25" customHeight="1">
      <c r="BC186" s="13"/>
      <c r="BD186" s="13"/>
    </row>
    <row r="187" ht="14.25" customHeight="1">
      <c r="BC187" s="13"/>
      <c r="BD187" s="13"/>
    </row>
    <row r="188" ht="14.25" customHeight="1">
      <c r="BC188" s="13"/>
      <c r="BD188" s="13"/>
    </row>
    <row r="189" ht="14.25" customHeight="1">
      <c r="BC189" s="13"/>
      <c r="BD189" s="13"/>
    </row>
    <row r="190" ht="14.25" customHeight="1">
      <c r="BC190" s="13"/>
      <c r="BD190" s="13"/>
    </row>
    <row r="191" ht="14.25" customHeight="1">
      <c r="BC191" s="13"/>
      <c r="BD191" s="13"/>
    </row>
    <row r="192" ht="14.25" customHeight="1">
      <c r="BC192" s="13"/>
      <c r="BD192" s="13"/>
    </row>
    <row r="193" ht="14.25" customHeight="1">
      <c r="BC193" s="13"/>
      <c r="BD193" s="13"/>
    </row>
    <row r="194" ht="14.25" customHeight="1">
      <c r="BC194" s="13"/>
      <c r="BD194" s="13"/>
    </row>
    <row r="195" ht="14.25" customHeight="1">
      <c r="BC195" s="13"/>
      <c r="BD195" s="13"/>
    </row>
    <row r="196" ht="14.25" customHeight="1">
      <c r="BC196" s="13"/>
      <c r="BD196" s="13"/>
    </row>
    <row r="197" ht="14.25" customHeight="1">
      <c r="BC197" s="13"/>
      <c r="BD197" s="13"/>
    </row>
    <row r="198" ht="14.25" customHeight="1">
      <c r="BC198" s="13"/>
      <c r="BD198" s="13"/>
    </row>
    <row r="199" ht="14.25" customHeight="1">
      <c r="BC199" s="13"/>
      <c r="BD199" s="13"/>
    </row>
    <row r="200" ht="14.25" customHeight="1">
      <c r="BC200" s="13"/>
      <c r="BD200" s="13"/>
    </row>
    <row r="201" ht="14.25" customHeight="1">
      <c r="BC201" s="13"/>
      <c r="BD201" s="13"/>
    </row>
    <row r="202" ht="14.25" customHeight="1">
      <c r="BC202" s="13"/>
      <c r="BD202" s="13"/>
    </row>
    <row r="203" ht="14.25" customHeight="1">
      <c r="BC203" s="13"/>
      <c r="BD203" s="13"/>
    </row>
    <row r="204" ht="14.25" customHeight="1">
      <c r="BC204" s="13"/>
      <c r="BD204" s="13"/>
    </row>
    <row r="205" ht="14.25" customHeight="1">
      <c r="BC205" s="13"/>
      <c r="BD205" s="13"/>
    </row>
    <row r="206" ht="14.25" customHeight="1">
      <c r="BC206" s="13"/>
      <c r="BD206" s="13"/>
    </row>
    <row r="207" ht="14.25" customHeight="1">
      <c r="BC207" s="13"/>
      <c r="BD207" s="13"/>
    </row>
    <row r="208" ht="14.25" customHeight="1">
      <c r="BC208" s="13"/>
      <c r="BD208" s="13"/>
    </row>
    <row r="209" ht="14.25" customHeight="1">
      <c r="BC209" s="13"/>
      <c r="BD209" s="13"/>
    </row>
    <row r="210" ht="14.25" customHeight="1">
      <c r="BC210" s="13"/>
      <c r="BD210" s="13"/>
    </row>
    <row r="211" ht="14.25" customHeight="1">
      <c r="BC211" s="13"/>
      <c r="BD211" s="13"/>
    </row>
    <row r="212" ht="14.25" customHeight="1">
      <c r="BC212" s="13"/>
      <c r="BD212" s="13"/>
    </row>
    <row r="213" ht="14.25" customHeight="1">
      <c r="BC213" s="13"/>
      <c r="BD213" s="13"/>
    </row>
    <row r="214" ht="14.25" customHeight="1">
      <c r="BC214" s="13"/>
      <c r="BD214" s="13"/>
    </row>
    <row r="215" ht="14.25" customHeight="1">
      <c r="BC215" s="13"/>
      <c r="BD215" s="13"/>
    </row>
    <row r="216" ht="14.25" customHeight="1">
      <c r="BC216" s="13"/>
      <c r="BD216" s="13"/>
    </row>
    <row r="217" ht="14.25" customHeight="1">
      <c r="BC217" s="13"/>
      <c r="BD217" s="13"/>
    </row>
    <row r="218" ht="14.25" customHeight="1">
      <c r="BC218" s="13"/>
      <c r="BD218" s="13"/>
    </row>
    <row r="219" ht="14.25" customHeight="1">
      <c r="BC219" s="13"/>
      <c r="BD219" s="13"/>
    </row>
    <row r="220" ht="14.25" customHeight="1">
      <c r="BC220" s="13"/>
      <c r="BD220" s="13"/>
    </row>
    <row r="221" ht="14.25" customHeight="1">
      <c r="BC221" s="13"/>
      <c r="BD221" s="13"/>
    </row>
    <row r="222" ht="14.25" customHeight="1">
      <c r="BC222" s="13"/>
      <c r="BD222" s="13"/>
    </row>
    <row r="223" ht="14.25" customHeight="1">
      <c r="BC223" s="13"/>
      <c r="BD223" s="13"/>
    </row>
    <row r="224" ht="14.25" customHeight="1">
      <c r="BC224" s="13"/>
      <c r="BD224" s="13"/>
    </row>
    <row r="225" ht="14.25" customHeight="1">
      <c r="BC225" s="13"/>
      <c r="BD225" s="13"/>
    </row>
    <row r="226" ht="14.25" customHeight="1">
      <c r="BC226" s="13"/>
      <c r="BD226" s="13"/>
    </row>
    <row r="227" ht="14.25" customHeight="1">
      <c r="BC227" s="13"/>
      <c r="BD227" s="13"/>
    </row>
    <row r="228" ht="14.25" customHeight="1">
      <c r="BC228" s="13"/>
      <c r="BD228" s="13"/>
    </row>
    <row r="229" ht="14.25" customHeight="1">
      <c r="BC229" s="13"/>
      <c r="BD229" s="13"/>
    </row>
    <row r="230" ht="14.25" customHeight="1">
      <c r="BC230" s="13"/>
      <c r="BD230" s="13"/>
    </row>
    <row r="231" ht="14.25" customHeight="1">
      <c r="BC231" s="13"/>
      <c r="BD231" s="13"/>
    </row>
    <row r="232" ht="14.25" customHeight="1">
      <c r="BC232" s="13"/>
      <c r="BD232" s="13"/>
    </row>
    <row r="233" ht="14.25" customHeight="1">
      <c r="BC233" s="13"/>
      <c r="BD233" s="13"/>
    </row>
    <row r="234" ht="14.25" customHeight="1">
      <c r="BC234" s="13"/>
      <c r="BD234" s="13"/>
    </row>
    <row r="235" ht="14.25" customHeight="1">
      <c r="BC235" s="13"/>
      <c r="BD235" s="13"/>
    </row>
    <row r="236" ht="14.25" customHeight="1">
      <c r="BC236" s="13"/>
      <c r="BD236" s="13"/>
    </row>
    <row r="237" ht="14.25" customHeight="1">
      <c r="BC237" s="13"/>
      <c r="BD237" s="13"/>
    </row>
    <row r="238" ht="14.25" customHeight="1">
      <c r="BC238" s="13"/>
      <c r="BD238" s="13"/>
    </row>
    <row r="239" ht="14.25" customHeight="1">
      <c r="BC239" s="13"/>
      <c r="BD239" s="13"/>
    </row>
    <row r="240" ht="14.25" customHeight="1">
      <c r="BC240" s="13"/>
      <c r="BD240" s="13"/>
    </row>
    <row r="241" ht="14.25" customHeight="1">
      <c r="BC241" s="13"/>
      <c r="BD241" s="13"/>
    </row>
    <row r="242" ht="14.25" customHeight="1">
      <c r="BC242" s="13"/>
      <c r="BD242" s="13"/>
    </row>
    <row r="243" ht="14.25" customHeight="1">
      <c r="BC243" s="13"/>
      <c r="BD243" s="13"/>
    </row>
    <row r="244" ht="14.25" customHeight="1">
      <c r="BC244" s="13"/>
      <c r="BD244" s="13"/>
    </row>
    <row r="245" ht="14.25" customHeight="1">
      <c r="BC245" s="13"/>
      <c r="BD245" s="13"/>
    </row>
    <row r="246" ht="14.25" customHeight="1">
      <c r="BC246" s="13"/>
      <c r="BD246" s="13"/>
    </row>
    <row r="247" ht="14.25" customHeight="1">
      <c r="BC247" s="13"/>
      <c r="BD247" s="13"/>
    </row>
    <row r="248" ht="14.25" customHeight="1">
      <c r="BC248" s="13"/>
      <c r="BD248" s="13"/>
    </row>
    <row r="249" ht="14.25" customHeight="1">
      <c r="BC249" s="13"/>
      <c r="BD249" s="13"/>
    </row>
    <row r="250" ht="14.25" customHeight="1">
      <c r="BC250" s="13"/>
      <c r="BD250" s="13"/>
    </row>
    <row r="251" ht="14.25" customHeight="1">
      <c r="BC251" s="13"/>
      <c r="BD251" s="13"/>
    </row>
    <row r="252" ht="14.25" customHeight="1">
      <c r="BC252" s="13"/>
      <c r="BD252" s="13"/>
    </row>
    <row r="253" ht="14.25" customHeight="1">
      <c r="BC253" s="13"/>
      <c r="BD253" s="13"/>
    </row>
    <row r="254" ht="14.25" customHeight="1">
      <c r="BC254" s="13"/>
      <c r="BD254" s="13"/>
    </row>
    <row r="255" ht="14.25" customHeight="1">
      <c r="BC255" s="13"/>
      <c r="BD255" s="13"/>
    </row>
    <row r="256" ht="14.25" customHeight="1">
      <c r="BC256" s="13"/>
      <c r="BD256" s="13"/>
    </row>
    <row r="257" ht="14.25" customHeight="1">
      <c r="BC257" s="13"/>
      <c r="BD257" s="13"/>
    </row>
    <row r="258" ht="14.25" customHeight="1">
      <c r="BC258" s="13"/>
      <c r="BD258" s="13"/>
    </row>
    <row r="259" ht="14.25" customHeight="1">
      <c r="BC259" s="13"/>
      <c r="BD259" s="13"/>
    </row>
    <row r="260" ht="14.25" customHeight="1">
      <c r="BC260" s="13"/>
      <c r="BD260" s="13"/>
    </row>
    <row r="261" ht="14.25" customHeight="1">
      <c r="BC261" s="13"/>
      <c r="BD261" s="13"/>
    </row>
    <row r="262" ht="14.25" customHeight="1">
      <c r="BC262" s="13"/>
      <c r="BD262" s="13"/>
    </row>
    <row r="263" ht="14.25" customHeight="1">
      <c r="BC263" s="13"/>
      <c r="BD263" s="13"/>
    </row>
    <row r="264" ht="14.25" customHeight="1">
      <c r="BC264" s="13"/>
      <c r="BD264" s="13"/>
    </row>
    <row r="265" ht="14.25" customHeight="1">
      <c r="BC265" s="13"/>
      <c r="BD265" s="13"/>
    </row>
    <row r="266" ht="14.25" customHeight="1">
      <c r="BC266" s="13"/>
      <c r="BD266" s="13"/>
    </row>
    <row r="267" ht="14.25" customHeight="1">
      <c r="BC267" s="13"/>
      <c r="BD267" s="13"/>
    </row>
    <row r="268" ht="14.25" customHeight="1">
      <c r="BC268" s="13"/>
      <c r="BD268" s="13"/>
    </row>
    <row r="269" ht="14.25" customHeight="1">
      <c r="BC269" s="13"/>
      <c r="BD269" s="13"/>
    </row>
    <row r="270" ht="14.25" customHeight="1">
      <c r="BC270" s="13"/>
      <c r="BD270" s="13"/>
    </row>
    <row r="271" ht="14.25" customHeight="1">
      <c r="BC271" s="13"/>
      <c r="BD271" s="13"/>
    </row>
    <row r="272" ht="14.25" customHeight="1">
      <c r="BC272" s="13"/>
      <c r="BD272" s="13"/>
    </row>
    <row r="273" ht="14.25" customHeight="1">
      <c r="BC273" s="13"/>
      <c r="BD273" s="13"/>
    </row>
    <row r="274" ht="14.25" customHeight="1">
      <c r="BC274" s="13"/>
      <c r="BD274" s="13"/>
    </row>
    <row r="275" ht="14.25" customHeight="1">
      <c r="BC275" s="13"/>
      <c r="BD275" s="13"/>
    </row>
    <row r="276" ht="14.25" customHeight="1">
      <c r="BC276" s="13"/>
      <c r="BD276" s="13"/>
    </row>
    <row r="277" ht="14.25" customHeight="1">
      <c r="BC277" s="13"/>
      <c r="BD277" s="13"/>
    </row>
    <row r="278" ht="14.25" customHeight="1">
      <c r="BC278" s="13"/>
      <c r="BD278" s="13"/>
    </row>
    <row r="279" ht="14.25" customHeight="1">
      <c r="BC279" s="13"/>
      <c r="BD279" s="13"/>
    </row>
    <row r="280" ht="14.25" customHeight="1">
      <c r="BC280" s="13"/>
      <c r="BD280" s="13"/>
    </row>
    <row r="281" ht="14.25" customHeight="1">
      <c r="BC281" s="13"/>
      <c r="BD281" s="13"/>
    </row>
    <row r="282" ht="14.25" customHeight="1">
      <c r="BC282" s="13"/>
      <c r="BD282" s="13"/>
    </row>
    <row r="283" ht="14.25" customHeight="1">
      <c r="BC283" s="13"/>
      <c r="BD283" s="13"/>
    </row>
    <row r="284" ht="14.25" customHeight="1">
      <c r="BC284" s="13"/>
      <c r="BD284" s="13"/>
    </row>
    <row r="285" ht="14.25" customHeight="1">
      <c r="BC285" s="13"/>
      <c r="BD285" s="13"/>
    </row>
    <row r="286" ht="14.25" customHeight="1">
      <c r="BC286" s="13"/>
      <c r="BD286" s="13"/>
    </row>
    <row r="287" ht="14.25" customHeight="1">
      <c r="BC287" s="13"/>
      <c r="BD287" s="13"/>
    </row>
    <row r="288" ht="14.25" customHeight="1">
      <c r="BC288" s="13"/>
      <c r="BD288" s="13"/>
    </row>
    <row r="289" ht="14.25" customHeight="1">
      <c r="BC289" s="13"/>
      <c r="BD289" s="13"/>
    </row>
    <row r="290" ht="14.25" customHeight="1">
      <c r="BC290" s="13"/>
      <c r="BD290" s="13"/>
    </row>
    <row r="291" ht="14.25" customHeight="1">
      <c r="BC291" s="13"/>
      <c r="BD291" s="13"/>
    </row>
    <row r="292" ht="14.25" customHeight="1">
      <c r="BC292" s="13"/>
      <c r="BD292" s="13"/>
    </row>
    <row r="293" ht="14.25" customHeight="1">
      <c r="BC293" s="13"/>
      <c r="BD293" s="13"/>
    </row>
    <row r="294" ht="14.25" customHeight="1">
      <c r="BC294" s="13"/>
      <c r="BD294" s="13"/>
    </row>
    <row r="295" ht="14.25" customHeight="1">
      <c r="BC295" s="13"/>
      <c r="BD295" s="13"/>
    </row>
    <row r="296" ht="14.25" customHeight="1">
      <c r="BC296" s="13"/>
      <c r="BD296" s="13"/>
    </row>
    <row r="297" ht="14.25" customHeight="1">
      <c r="BC297" s="13"/>
      <c r="BD297" s="13"/>
    </row>
    <row r="298" ht="14.25" customHeight="1">
      <c r="BC298" s="13"/>
      <c r="BD298" s="13"/>
    </row>
    <row r="299" ht="14.25" customHeight="1">
      <c r="BC299" s="13"/>
      <c r="BD299" s="13"/>
    </row>
    <row r="300" ht="14.25" customHeight="1">
      <c r="BC300" s="13"/>
      <c r="BD300" s="13"/>
    </row>
    <row r="301" ht="14.25" customHeight="1">
      <c r="BC301" s="13"/>
      <c r="BD301" s="13"/>
    </row>
    <row r="302" ht="14.25" customHeight="1">
      <c r="BC302" s="13"/>
      <c r="BD302" s="13"/>
    </row>
    <row r="303" ht="14.25" customHeight="1">
      <c r="BC303" s="13"/>
      <c r="BD303" s="13"/>
    </row>
    <row r="304" ht="14.25" customHeight="1">
      <c r="BC304" s="13"/>
      <c r="BD304" s="13"/>
    </row>
    <row r="305" ht="14.25" customHeight="1">
      <c r="BC305" s="13"/>
      <c r="BD305" s="13"/>
    </row>
    <row r="306" ht="14.25" customHeight="1">
      <c r="BC306" s="13"/>
      <c r="BD306" s="13"/>
    </row>
    <row r="307" ht="14.25" customHeight="1">
      <c r="BC307" s="13"/>
      <c r="BD307" s="13"/>
    </row>
    <row r="308" ht="14.25" customHeight="1">
      <c r="BC308" s="13"/>
      <c r="BD308" s="13"/>
    </row>
    <row r="309" ht="14.25" customHeight="1">
      <c r="BC309" s="13"/>
      <c r="BD309" s="13"/>
    </row>
    <row r="310" ht="14.25" customHeight="1">
      <c r="BC310" s="13"/>
      <c r="BD310" s="13"/>
    </row>
    <row r="311" ht="14.25" customHeight="1">
      <c r="BC311" s="13"/>
      <c r="BD311" s="13"/>
    </row>
    <row r="312" ht="14.25" customHeight="1">
      <c r="BC312" s="13"/>
      <c r="BD312" s="13"/>
    </row>
    <row r="313" ht="14.25" customHeight="1">
      <c r="BC313" s="13"/>
      <c r="BD313" s="13"/>
    </row>
    <row r="314" ht="14.25" customHeight="1">
      <c r="BC314" s="13"/>
      <c r="BD314" s="13"/>
    </row>
    <row r="315" ht="14.25" customHeight="1">
      <c r="BC315" s="13"/>
      <c r="BD315" s="13"/>
    </row>
    <row r="316" ht="14.25" customHeight="1">
      <c r="BC316" s="13"/>
      <c r="BD316" s="13"/>
    </row>
    <row r="317" ht="14.25" customHeight="1">
      <c r="BC317" s="13"/>
      <c r="BD317" s="13"/>
    </row>
    <row r="318" ht="14.25" customHeight="1">
      <c r="BC318" s="13"/>
      <c r="BD318" s="13"/>
    </row>
    <row r="319" ht="14.25" customHeight="1">
      <c r="BC319" s="13"/>
      <c r="BD319" s="13"/>
    </row>
    <row r="320" ht="14.25" customHeight="1">
      <c r="BC320" s="13"/>
      <c r="BD320" s="13"/>
    </row>
    <row r="321" ht="14.25" customHeight="1">
      <c r="BC321" s="13"/>
      <c r="BD321" s="13"/>
    </row>
    <row r="322" ht="14.25" customHeight="1">
      <c r="BC322" s="13"/>
      <c r="BD322" s="13"/>
    </row>
    <row r="323" ht="14.25" customHeight="1">
      <c r="BC323" s="13"/>
      <c r="BD323" s="13"/>
    </row>
    <row r="324" ht="14.25" customHeight="1">
      <c r="BC324" s="13"/>
      <c r="BD324" s="13"/>
    </row>
    <row r="325" ht="14.25" customHeight="1">
      <c r="BC325" s="13"/>
      <c r="BD325" s="13"/>
    </row>
    <row r="326" ht="14.25" customHeight="1">
      <c r="BC326" s="13"/>
      <c r="BD326" s="13"/>
    </row>
    <row r="327" ht="14.25" customHeight="1">
      <c r="BC327" s="13"/>
      <c r="BD327" s="13"/>
    </row>
    <row r="328" ht="14.25" customHeight="1">
      <c r="BC328" s="13"/>
      <c r="BD328" s="13"/>
    </row>
    <row r="329" ht="14.25" customHeight="1">
      <c r="BC329" s="13"/>
      <c r="BD329" s="13"/>
    </row>
    <row r="330" ht="14.25" customHeight="1">
      <c r="BC330" s="13"/>
      <c r="BD330" s="13"/>
    </row>
    <row r="331" ht="14.25" customHeight="1">
      <c r="BC331" s="13"/>
      <c r="BD331" s="13"/>
    </row>
    <row r="332" ht="14.25" customHeight="1">
      <c r="BC332" s="13"/>
      <c r="BD332" s="13"/>
    </row>
    <row r="333" ht="14.25" customHeight="1">
      <c r="BC333" s="13"/>
      <c r="BD333" s="13"/>
    </row>
    <row r="334" ht="14.25" customHeight="1">
      <c r="BC334" s="13"/>
      <c r="BD334" s="13"/>
    </row>
    <row r="335" ht="14.25" customHeight="1">
      <c r="BC335" s="13"/>
      <c r="BD335" s="13"/>
    </row>
    <row r="336" ht="14.25" customHeight="1">
      <c r="BC336" s="13"/>
      <c r="BD336" s="13"/>
    </row>
    <row r="337" ht="14.25" customHeight="1">
      <c r="BC337" s="13"/>
      <c r="BD337" s="13"/>
    </row>
    <row r="338" ht="14.25" customHeight="1">
      <c r="BC338" s="13"/>
      <c r="BD338" s="13"/>
    </row>
    <row r="339" ht="14.25" customHeight="1">
      <c r="BC339" s="13"/>
      <c r="BD339" s="13"/>
    </row>
    <row r="340" ht="14.25" customHeight="1">
      <c r="BC340" s="13"/>
      <c r="BD340" s="13"/>
    </row>
    <row r="341" ht="14.25" customHeight="1">
      <c r="BC341" s="13"/>
      <c r="BD341" s="13"/>
    </row>
    <row r="342" ht="14.25" customHeight="1">
      <c r="BC342" s="13"/>
      <c r="BD342" s="13"/>
    </row>
    <row r="343" ht="14.25" customHeight="1">
      <c r="BC343" s="13"/>
      <c r="BD343" s="13"/>
    </row>
    <row r="344" ht="14.25" customHeight="1">
      <c r="BC344" s="13"/>
      <c r="BD344" s="13"/>
    </row>
    <row r="345" ht="14.25" customHeight="1">
      <c r="BC345" s="13"/>
      <c r="BD345" s="13"/>
    </row>
    <row r="346" ht="14.25" customHeight="1">
      <c r="BC346" s="13"/>
      <c r="BD346" s="13"/>
    </row>
    <row r="347" ht="14.25" customHeight="1">
      <c r="BC347" s="13"/>
      <c r="BD347" s="13"/>
    </row>
    <row r="348" ht="14.25" customHeight="1">
      <c r="BC348" s="13"/>
      <c r="BD348" s="13"/>
    </row>
    <row r="349" ht="14.25" customHeight="1">
      <c r="BC349" s="13"/>
      <c r="BD349" s="13"/>
    </row>
    <row r="350" ht="14.25" customHeight="1">
      <c r="BC350" s="13"/>
      <c r="BD350" s="13"/>
    </row>
    <row r="351" ht="14.25" customHeight="1">
      <c r="BC351" s="13"/>
      <c r="BD351" s="13"/>
    </row>
    <row r="352" ht="14.25" customHeight="1">
      <c r="BC352" s="13"/>
      <c r="BD352" s="13"/>
    </row>
    <row r="353" ht="14.25" customHeight="1">
      <c r="BC353" s="13"/>
      <c r="BD353" s="13"/>
    </row>
    <row r="354" ht="14.25" customHeight="1">
      <c r="BC354" s="13"/>
      <c r="BD354" s="13"/>
    </row>
    <row r="355" ht="14.25" customHeight="1">
      <c r="BC355" s="13"/>
      <c r="BD355" s="13"/>
    </row>
    <row r="356" ht="14.25" customHeight="1">
      <c r="BC356" s="13"/>
      <c r="BD356" s="13"/>
    </row>
    <row r="357" ht="14.25" customHeight="1">
      <c r="BC357" s="13"/>
      <c r="BD357" s="13"/>
    </row>
    <row r="358" ht="14.25" customHeight="1">
      <c r="BC358" s="13"/>
      <c r="BD358" s="13"/>
    </row>
    <row r="359" ht="14.25" customHeight="1">
      <c r="BC359" s="13"/>
      <c r="BD359" s="13"/>
    </row>
    <row r="360" ht="14.25" customHeight="1">
      <c r="BC360" s="13"/>
      <c r="BD360" s="13"/>
    </row>
    <row r="361" ht="14.25" customHeight="1">
      <c r="BC361" s="13"/>
      <c r="BD361" s="13"/>
    </row>
    <row r="362" ht="14.25" customHeight="1">
      <c r="BC362" s="13"/>
      <c r="BD362" s="13"/>
    </row>
    <row r="363" ht="14.25" customHeight="1">
      <c r="BC363" s="13"/>
      <c r="BD363" s="13"/>
    </row>
    <row r="364" ht="14.25" customHeight="1">
      <c r="BC364" s="13"/>
      <c r="BD364" s="13"/>
    </row>
    <row r="365" ht="14.25" customHeight="1">
      <c r="BC365" s="13"/>
      <c r="BD365" s="13"/>
    </row>
    <row r="366" ht="14.25" customHeight="1">
      <c r="BC366" s="13"/>
      <c r="BD366" s="13"/>
    </row>
    <row r="367" ht="14.25" customHeight="1">
      <c r="BC367" s="13"/>
      <c r="BD367" s="13"/>
    </row>
    <row r="368" ht="14.25" customHeight="1">
      <c r="BC368" s="13"/>
      <c r="BD368" s="13"/>
    </row>
    <row r="369" ht="14.25" customHeight="1">
      <c r="BC369" s="13"/>
      <c r="BD369" s="13"/>
    </row>
    <row r="370" ht="14.25" customHeight="1">
      <c r="BC370" s="13"/>
      <c r="BD370" s="13"/>
    </row>
    <row r="371" ht="14.25" customHeight="1">
      <c r="BC371" s="13"/>
      <c r="BD371" s="13"/>
    </row>
    <row r="372" ht="14.25" customHeight="1">
      <c r="BC372" s="13"/>
      <c r="BD372" s="13"/>
    </row>
    <row r="373" ht="14.25" customHeight="1">
      <c r="BC373" s="13"/>
      <c r="BD373" s="13"/>
    </row>
    <row r="374" ht="14.25" customHeight="1">
      <c r="BC374" s="13"/>
      <c r="BD374" s="13"/>
    </row>
    <row r="375" ht="14.25" customHeight="1">
      <c r="BC375" s="13"/>
      <c r="BD375" s="13"/>
    </row>
    <row r="376" ht="14.25" customHeight="1">
      <c r="BC376" s="13"/>
      <c r="BD376" s="13"/>
    </row>
    <row r="377" ht="14.25" customHeight="1">
      <c r="BC377" s="13"/>
      <c r="BD377" s="13"/>
    </row>
    <row r="378" ht="14.25" customHeight="1">
      <c r="BC378" s="13"/>
      <c r="BD378" s="13"/>
    </row>
    <row r="379" ht="14.25" customHeight="1">
      <c r="BC379" s="13"/>
      <c r="BD379" s="13"/>
    </row>
    <row r="380" ht="14.25" customHeight="1">
      <c r="BC380" s="13"/>
      <c r="BD380" s="13"/>
    </row>
    <row r="381" ht="14.25" customHeight="1">
      <c r="BC381" s="13"/>
      <c r="BD381" s="13"/>
    </row>
    <row r="382" ht="14.25" customHeight="1">
      <c r="BC382" s="13"/>
      <c r="BD382" s="13"/>
    </row>
    <row r="383" ht="14.25" customHeight="1">
      <c r="BC383" s="13"/>
      <c r="BD383" s="13"/>
    </row>
    <row r="384" ht="14.25" customHeight="1">
      <c r="BC384" s="13"/>
      <c r="BD384" s="13"/>
    </row>
    <row r="385" ht="14.25" customHeight="1">
      <c r="BC385" s="13"/>
      <c r="BD385" s="13"/>
    </row>
    <row r="386" ht="14.25" customHeight="1">
      <c r="BC386" s="13"/>
      <c r="BD386" s="13"/>
    </row>
    <row r="387" ht="14.25" customHeight="1">
      <c r="BC387" s="13"/>
      <c r="BD387" s="13"/>
    </row>
    <row r="388" ht="14.25" customHeight="1">
      <c r="BC388" s="13"/>
      <c r="BD388" s="13"/>
    </row>
    <row r="389" ht="14.25" customHeight="1">
      <c r="BC389" s="13"/>
      <c r="BD389" s="13"/>
    </row>
    <row r="390" ht="14.25" customHeight="1">
      <c r="BC390" s="13"/>
      <c r="BD390" s="13"/>
    </row>
    <row r="391" ht="14.25" customHeight="1">
      <c r="BC391" s="13"/>
      <c r="BD391" s="13"/>
    </row>
    <row r="392" ht="14.25" customHeight="1">
      <c r="BC392" s="13"/>
      <c r="BD392" s="13"/>
    </row>
    <row r="393" ht="14.25" customHeight="1">
      <c r="BC393" s="13"/>
      <c r="BD393" s="13"/>
    </row>
    <row r="394" ht="14.25" customHeight="1">
      <c r="BC394" s="13"/>
      <c r="BD394" s="13"/>
    </row>
    <row r="395" ht="14.25" customHeight="1">
      <c r="BC395" s="13"/>
      <c r="BD395" s="13"/>
    </row>
    <row r="396" ht="14.25" customHeight="1">
      <c r="BC396" s="13"/>
      <c r="BD396" s="13"/>
    </row>
    <row r="397" ht="14.25" customHeight="1">
      <c r="BC397" s="13"/>
      <c r="BD397" s="13"/>
    </row>
    <row r="398" ht="14.25" customHeight="1">
      <c r="BC398" s="13"/>
      <c r="BD398" s="13"/>
    </row>
    <row r="399" ht="14.25" customHeight="1">
      <c r="BC399" s="13"/>
      <c r="BD399" s="13"/>
    </row>
    <row r="400" ht="14.25" customHeight="1">
      <c r="BC400" s="13"/>
      <c r="BD400" s="13"/>
    </row>
    <row r="401" ht="14.25" customHeight="1">
      <c r="BC401" s="13"/>
      <c r="BD401" s="13"/>
    </row>
    <row r="402" ht="14.25" customHeight="1">
      <c r="BC402" s="13"/>
      <c r="BD402" s="13"/>
    </row>
    <row r="403" ht="14.25" customHeight="1">
      <c r="BC403" s="13"/>
      <c r="BD403" s="13"/>
    </row>
    <row r="404" ht="14.25" customHeight="1">
      <c r="BC404" s="13"/>
      <c r="BD404" s="13"/>
    </row>
    <row r="405" ht="14.25" customHeight="1">
      <c r="BC405" s="13"/>
      <c r="BD405" s="13"/>
    </row>
    <row r="406" ht="14.25" customHeight="1">
      <c r="BC406" s="13"/>
      <c r="BD406" s="13"/>
    </row>
    <row r="407" ht="14.25" customHeight="1">
      <c r="BC407" s="13"/>
      <c r="BD407" s="13"/>
    </row>
    <row r="408" ht="14.25" customHeight="1">
      <c r="BC408" s="13"/>
      <c r="BD408" s="13"/>
    </row>
    <row r="409" ht="14.25" customHeight="1">
      <c r="BC409" s="13"/>
      <c r="BD409" s="13"/>
    </row>
    <row r="410" ht="14.25" customHeight="1">
      <c r="BC410" s="13"/>
      <c r="BD410" s="13"/>
    </row>
    <row r="411" ht="14.25" customHeight="1">
      <c r="BC411" s="13"/>
      <c r="BD411" s="13"/>
    </row>
    <row r="412" ht="14.25" customHeight="1">
      <c r="BC412" s="13"/>
      <c r="BD412" s="13"/>
    </row>
    <row r="413" ht="14.25" customHeight="1">
      <c r="BC413" s="13"/>
      <c r="BD413" s="13"/>
    </row>
    <row r="414" ht="14.25" customHeight="1">
      <c r="BC414" s="13"/>
      <c r="BD414" s="13"/>
    </row>
    <row r="415" ht="14.25" customHeight="1">
      <c r="BC415" s="13"/>
      <c r="BD415" s="13"/>
    </row>
    <row r="416" ht="14.25" customHeight="1">
      <c r="BC416" s="13"/>
      <c r="BD416" s="13"/>
    </row>
    <row r="417" ht="14.25" customHeight="1">
      <c r="BC417" s="13"/>
      <c r="BD417" s="13"/>
    </row>
    <row r="418" ht="14.25" customHeight="1">
      <c r="BC418" s="13"/>
      <c r="BD418" s="13"/>
    </row>
    <row r="419" ht="14.25" customHeight="1">
      <c r="BC419" s="13"/>
      <c r="BD419" s="13"/>
    </row>
    <row r="420" ht="14.25" customHeight="1">
      <c r="BC420" s="13"/>
      <c r="BD420" s="13"/>
    </row>
    <row r="421" ht="14.25" customHeight="1">
      <c r="BC421" s="13"/>
      <c r="BD421" s="13"/>
    </row>
    <row r="422" ht="14.25" customHeight="1">
      <c r="BC422" s="13"/>
      <c r="BD422" s="13"/>
    </row>
    <row r="423" ht="14.25" customHeight="1">
      <c r="BC423" s="13"/>
      <c r="BD423" s="13"/>
    </row>
    <row r="424" ht="14.25" customHeight="1">
      <c r="BC424" s="13"/>
      <c r="BD424" s="13"/>
    </row>
    <row r="425" ht="14.25" customHeight="1">
      <c r="BC425" s="13"/>
      <c r="BD425" s="13"/>
    </row>
    <row r="426" ht="14.25" customHeight="1">
      <c r="BC426" s="13"/>
      <c r="BD426" s="13"/>
    </row>
    <row r="427" ht="14.25" customHeight="1">
      <c r="BC427" s="13"/>
      <c r="BD427" s="13"/>
    </row>
    <row r="428" ht="14.25" customHeight="1">
      <c r="BC428" s="13"/>
      <c r="BD428" s="13"/>
    </row>
    <row r="429" ht="14.25" customHeight="1">
      <c r="BC429" s="13"/>
      <c r="BD429" s="13"/>
    </row>
    <row r="430" ht="14.25" customHeight="1">
      <c r="BC430" s="13"/>
      <c r="BD430" s="13"/>
    </row>
    <row r="431" ht="14.25" customHeight="1">
      <c r="BC431" s="13"/>
      <c r="BD431" s="13"/>
    </row>
    <row r="432" ht="14.25" customHeight="1">
      <c r="BC432" s="13"/>
      <c r="BD432" s="13"/>
    </row>
    <row r="433" ht="14.25" customHeight="1">
      <c r="BC433" s="13"/>
      <c r="BD433" s="13"/>
    </row>
    <row r="434" ht="14.25" customHeight="1">
      <c r="BC434" s="13"/>
      <c r="BD434" s="13"/>
    </row>
    <row r="435" ht="14.25" customHeight="1">
      <c r="BC435" s="13"/>
      <c r="BD435" s="13"/>
    </row>
    <row r="436" ht="14.25" customHeight="1">
      <c r="BC436" s="13"/>
      <c r="BD436" s="13"/>
    </row>
    <row r="437" ht="14.25" customHeight="1">
      <c r="BC437" s="13"/>
      <c r="BD437" s="13"/>
    </row>
    <row r="438" ht="14.25" customHeight="1">
      <c r="BC438" s="13"/>
      <c r="BD438" s="13"/>
    </row>
    <row r="439" ht="14.25" customHeight="1">
      <c r="BC439" s="13"/>
      <c r="BD439" s="13"/>
    </row>
    <row r="440" ht="14.25" customHeight="1">
      <c r="BC440" s="13"/>
      <c r="BD440" s="13"/>
    </row>
    <row r="441" ht="14.25" customHeight="1">
      <c r="BC441" s="13"/>
      <c r="BD441" s="13"/>
    </row>
    <row r="442" ht="14.25" customHeight="1">
      <c r="BC442" s="13"/>
      <c r="BD442" s="13"/>
    </row>
    <row r="443" ht="14.25" customHeight="1">
      <c r="BC443" s="13"/>
      <c r="BD443" s="13"/>
    </row>
    <row r="444" ht="14.25" customHeight="1">
      <c r="BC444" s="13"/>
      <c r="BD444" s="13"/>
    </row>
    <row r="445" ht="14.25" customHeight="1">
      <c r="BC445" s="13"/>
      <c r="BD445" s="13"/>
    </row>
    <row r="446" ht="14.25" customHeight="1">
      <c r="BC446" s="13"/>
      <c r="BD446" s="13"/>
    </row>
    <row r="447" ht="14.25" customHeight="1">
      <c r="BC447" s="13"/>
      <c r="BD447" s="13"/>
    </row>
    <row r="448" ht="14.25" customHeight="1">
      <c r="BC448" s="13"/>
      <c r="BD448" s="13"/>
    </row>
    <row r="449" ht="14.25" customHeight="1">
      <c r="BC449" s="13"/>
      <c r="BD449" s="13"/>
    </row>
    <row r="450" ht="14.25" customHeight="1">
      <c r="BC450" s="13"/>
      <c r="BD450" s="13"/>
    </row>
    <row r="451" ht="14.25" customHeight="1">
      <c r="BC451" s="13"/>
      <c r="BD451" s="13"/>
    </row>
    <row r="452" ht="14.25" customHeight="1">
      <c r="BC452" s="13"/>
      <c r="BD452" s="13"/>
    </row>
    <row r="453" ht="14.25" customHeight="1">
      <c r="BC453" s="13"/>
      <c r="BD453" s="13"/>
    </row>
    <row r="454" ht="14.25" customHeight="1">
      <c r="BC454" s="13"/>
      <c r="BD454" s="13"/>
    </row>
    <row r="455" ht="14.25" customHeight="1">
      <c r="BC455" s="13"/>
      <c r="BD455" s="13"/>
    </row>
    <row r="456" ht="14.25" customHeight="1">
      <c r="BC456" s="13"/>
      <c r="BD456" s="13"/>
    </row>
    <row r="457" ht="14.25" customHeight="1">
      <c r="BC457" s="13"/>
      <c r="BD457" s="13"/>
    </row>
    <row r="458" ht="14.25" customHeight="1">
      <c r="BC458" s="13"/>
      <c r="BD458" s="13"/>
    </row>
    <row r="459" ht="14.25" customHeight="1">
      <c r="BC459" s="13"/>
      <c r="BD459" s="13"/>
    </row>
    <row r="460" ht="14.25" customHeight="1">
      <c r="BC460" s="13"/>
      <c r="BD460" s="13"/>
    </row>
    <row r="461" ht="14.25" customHeight="1">
      <c r="BC461" s="13"/>
      <c r="BD461" s="13"/>
    </row>
    <row r="462" ht="14.25" customHeight="1">
      <c r="BC462" s="13"/>
      <c r="BD462" s="13"/>
    </row>
    <row r="463" ht="14.25" customHeight="1">
      <c r="BC463" s="13"/>
      <c r="BD463" s="13"/>
    </row>
    <row r="464" ht="14.25" customHeight="1">
      <c r="BC464" s="13"/>
      <c r="BD464" s="13"/>
    </row>
    <row r="465" ht="14.25" customHeight="1">
      <c r="BC465" s="13"/>
      <c r="BD465" s="13"/>
    </row>
    <row r="466" ht="14.25" customHeight="1">
      <c r="BC466" s="13"/>
      <c r="BD466" s="13"/>
    </row>
    <row r="467" ht="14.25" customHeight="1">
      <c r="BC467" s="13"/>
      <c r="BD467" s="13"/>
    </row>
    <row r="468" ht="14.25" customHeight="1">
      <c r="BC468" s="13"/>
      <c r="BD468" s="13"/>
    </row>
    <row r="469" ht="14.25" customHeight="1">
      <c r="BC469" s="13"/>
      <c r="BD469" s="13"/>
    </row>
    <row r="470" ht="14.25" customHeight="1">
      <c r="BC470" s="13"/>
      <c r="BD470" s="13"/>
    </row>
    <row r="471" ht="14.25" customHeight="1">
      <c r="BC471" s="13"/>
      <c r="BD471" s="13"/>
    </row>
    <row r="472" ht="14.25" customHeight="1">
      <c r="BC472" s="13"/>
      <c r="BD472" s="13"/>
    </row>
    <row r="473" ht="14.25" customHeight="1">
      <c r="BC473" s="13"/>
      <c r="BD473" s="13"/>
    </row>
    <row r="474" ht="14.25" customHeight="1">
      <c r="BC474" s="13"/>
      <c r="BD474" s="13"/>
    </row>
    <row r="475" ht="14.25" customHeight="1">
      <c r="BC475" s="13"/>
      <c r="BD475" s="13"/>
    </row>
    <row r="476" ht="14.25" customHeight="1">
      <c r="BC476" s="13"/>
      <c r="BD476" s="13"/>
    </row>
    <row r="477" ht="14.25" customHeight="1">
      <c r="BC477" s="13"/>
      <c r="BD477" s="13"/>
    </row>
    <row r="478" ht="14.25" customHeight="1">
      <c r="BC478" s="13"/>
      <c r="BD478" s="13"/>
    </row>
    <row r="479" ht="14.25" customHeight="1">
      <c r="BC479" s="13"/>
      <c r="BD479" s="13"/>
    </row>
    <row r="480" ht="14.25" customHeight="1">
      <c r="BC480" s="13"/>
      <c r="BD480" s="13"/>
    </row>
    <row r="481" ht="14.25" customHeight="1">
      <c r="BC481" s="13"/>
      <c r="BD481" s="13"/>
    </row>
    <row r="482" ht="14.25" customHeight="1">
      <c r="BC482" s="13"/>
      <c r="BD482" s="13"/>
    </row>
    <row r="483" ht="14.25" customHeight="1">
      <c r="BC483" s="13"/>
      <c r="BD483" s="13"/>
    </row>
    <row r="484" ht="14.25" customHeight="1">
      <c r="BC484" s="13"/>
      <c r="BD484" s="13"/>
    </row>
    <row r="485" ht="14.25" customHeight="1">
      <c r="BC485" s="13"/>
      <c r="BD485" s="13"/>
    </row>
    <row r="486" ht="14.25" customHeight="1">
      <c r="BC486" s="13"/>
      <c r="BD486" s="13"/>
    </row>
    <row r="487" ht="14.25" customHeight="1">
      <c r="BC487" s="13"/>
      <c r="BD487" s="13"/>
    </row>
    <row r="488" ht="14.25" customHeight="1">
      <c r="BC488" s="13"/>
      <c r="BD488" s="13"/>
    </row>
    <row r="489" ht="14.25" customHeight="1">
      <c r="BC489" s="13"/>
      <c r="BD489" s="13"/>
    </row>
    <row r="490" ht="14.25" customHeight="1">
      <c r="BC490" s="13"/>
      <c r="BD490" s="13"/>
    </row>
    <row r="491" ht="14.25" customHeight="1">
      <c r="BC491" s="13"/>
      <c r="BD491" s="13"/>
    </row>
    <row r="492" ht="14.25" customHeight="1">
      <c r="BC492" s="13"/>
      <c r="BD492" s="13"/>
    </row>
    <row r="493" ht="14.25" customHeight="1">
      <c r="BC493" s="13"/>
      <c r="BD493" s="13"/>
    </row>
    <row r="494" ht="14.25" customHeight="1">
      <c r="BC494" s="13"/>
      <c r="BD494" s="13"/>
    </row>
    <row r="495" ht="14.25" customHeight="1">
      <c r="BC495" s="13"/>
      <c r="BD495" s="13"/>
    </row>
    <row r="496" ht="14.25" customHeight="1">
      <c r="BC496" s="13"/>
      <c r="BD496" s="13"/>
    </row>
    <row r="497" ht="14.25" customHeight="1">
      <c r="BC497" s="13"/>
      <c r="BD497" s="13"/>
    </row>
    <row r="498" ht="14.25" customHeight="1">
      <c r="BC498" s="13"/>
      <c r="BD498" s="13"/>
    </row>
    <row r="499" ht="14.25" customHeight="1">
      <c r="BC499" s="13"/>
      <c r="BD499" s="13"/>
    </row>
    <row r="500" ht="14.25" customHeight="1">
      <c r="BC500" s="13"/>
      <c r="BD500" s="13"/>
    </row>
    <row r="501" ht="14.25" customHeight="1">
      <c r="BC501" s="13"/>
      <c r="BD501" s="13"/>
    </row>
    <row r="502" ht="14.25" customHeight="1">
      <c r="BC502" s="13"/>
      <c r="BD502" s="13"/>
    </row>
    <row r="503" ht="14.25" customHeight="1">
      <c r="BC503" s="13"/>
      <c r="BD503" s="13"/>
    </row>
    <row r="504" ht="14.25" customHeight="1">
      <c r="BC504" s="13"/>
      <c r="BD504" s="13"/>
    </row>
    <row r="505" ht="14.25" customHeight="1">
      <c r="BC505" s="13"/>
      <c r="BD505" s="13"/>
    </row>
    <row r="506" ht="14.25" customHeight="1">
      <c r="BC506" s="13"/>
      <c r="BD506" s="13"/>
    </row>
    <row r="507" ht="14.25" customHeight="1">
      <c r="BC507" s="13"/>
      <c r="BD507" s="13"/>
    </row>
    <row r="508" ht="14.25" customHeight="1">
      <c r="BC508" s="13"/>
      <c r="BD508" s="13"/>
    </row>
    <row r="509" ht="14.25" customHeight="1">
      <c r="BC509" s="13"/>
      <c r="BD509" s="13"/>
    </row>
    <row r="510" ht="14.25" customHeight="1">
      <c r="BC510" s="13"/>
      <c r="BD510" s="13"/>
    </row>
    <row r="511" ht="14.25" customHeight="1">
      <c r="BC511" s="13"/>
      <c r="BD511" s="13"/>
    </row>
    <row r="512" ht="14.25" customHeight="1">
      <c r="BC512" s="13"/>
      <c r="BD512" s="13"/>
    </row>
    <row r="513" ht="14.25" customHeight="1">
      <c r="BC513" s="13"/>
      <c r="BD513" s="13"/>
    </row>
    <row r="514" ht="14.25" customHeight="1">
      <c r="BC514" s="13"/>
      <c r="BD514" s="13"/>
    </row>
    <row r="515" ht="14.25" customHeight="1">
      <c r="BC515" s="13"/>
      <c r="BD515" s="13"/>
    </row>
    <row r="516" ht="14.25" customHeight="1">
      <c r="BC516" s="13"/>
      <c r="BD516" s="13"/>
    </row>
    <row r="517" ht="14.25" customHeight="1">
      <c r="BC517" s="13"/>
      <c r="BD517" s="13"/>
    </row>
    <row r="518" ht="14.25" customHeight="1">
      <c r="BC518" s="13"/>
      <c r="BD518" s="13"/>
    </row>
    <row r="519" ht="14.25" customHeight="1">
      <c r="BC519" s="13"/>
      <c r="BD519" s="13"/>
    </row>
    <row r="520" ht="14.25" customHeight="1">
      <c r="BC520" s="13"/>
      <c r="BD520" s="13"/>
    </row>
    <row r="521" ht="14.25" customHeight="1">
      <c r="BC521" s="13"/>
      <c r="BD521" s="13"/>
    </row>
    <row r="522" ht="14.25" customHeight="1">
      <c r="BC522" s="13"/>
      <c r="BD522" s="13"/>
    </row>
    <row r="523" ht="14.25" customHeight="1">
      <c r="BC523" s="13"/>
      <c r="BD523" s="13"/>
    </row>
    <row r="524" ht="14.25" customHeight="1">
      <c r="BC524" s="13"/>
      <c r="BD524" s="13"/>
    </row>
    <row r="525" ht="14.25" customHeight="1">
      <c r="BC525" s="13"/>
      <c r="BD525" s="13"/>
    </row>
    <row r="526" ht="14.25" customHeight="1">
      <c r="BC526" s="13"/>
      <c r="BD526" s="13"/>
    </row>
    <row r="527" ht="14.25" customHeight="1">
      <c r="BC527" s="13"/>
      <c r="BD527" s="13"/>
    </row>
    <row r="528" ht="14.25" customHeight="1">
      <c r="BC528" s="13"/>
      <c r="BD528" s="13"/>
    </row>
    <row r="529" ht="14.25" customHeight="1">
      <c r="BC529" s="13"/>
      <c r="BD529" s="13"/>
    </row>
    <row r="530" ht="14.25" customHeight="1">
      <c r="BC530" s="13"/>
      <c r="BD530" s="13"/>
    </row>
    <row r="531" ht="14.25" customHeight="1">
      <c r="BC531" s="13"/>
      <c r="BD531" s="13"/>
    </row>
    <row r="532" ht="14.25" customHeight="1">
      <c r="BC532" s="13"/>
      <c r="BD532" s="13"/>
    </row>
    <row r="533" ht="14.25" customHeight="1">
      <c r="BC533" s="13"/>
      <c r="BD533" s="13"/>
    </row>
    <row r="534" ht="14.25" customHeight="1">
      <c r="BC534" s="13"/>
      <c r="BD534" s="13"/>
    </row>
    <row r="535" ht="14.25" customHeight="1">
      <c r="BC535" s="13"/>
      <c r="BD535" s="13"/>
    </row>
    <row r="536" ht="14.25" customHeight="1">
      <c r="BC536" s="13"/>
      <c r="BD536" s="13"/>
    </row>
    <row r="537" ht="14.25" customHeight="1">
      <c r="BC537" s="13"/>
      <c r="BD537" s="13"/>
    </row>
    <row r="538" ht="14.25" customHeight="1">
      <c r="BC538" s="13"/>
      <c r="BD538" s="13"/>
    </row>
    <row r="539" ht="14.25" customHeight="1">
      <c r="BC539" s="13"/>
      <c r="BD539" s="13"/>
    </row>
    <row r="540" ht="14.25" customHeight="1">
      <c r="BC540" s="13"/>
      <c r="BD540" s="13"/>
    </row>
    <row r="541" ht="14.25" customHeight="1">
      <c r="BC541" s="13"/>
      <c r="BD541" s="13"/>
    </row>
    <row r="542" ht="14.25" customHeight="1">
      <c r="BC542" s="13"/>
      <c r="BD542" s="13"/>
    </row>
    <row r="543" ht="14.25" customHeight="1">
      <c r="BC543" s="13"/>
      <c r="BD543" s="13"/>
    </row>
    <row r="544" ht="14.25" customHeight="1">
      <c r="BC544" s="13"/>
      <c r="BD544" s="13"/>
    </row>
    <row r="545" ht="14.25" customHeight="1">
      <c r="BC545" s="13"/>
      <c r="BD545" s="13"/>
    </row>
    <row r="546" ht="14.25" customHeight="1">
      <c r="BC546" s="13"/>
      <c r="BD546" s="13"/>
    </row>
    <row r="547" ht="14.25" customHeight="1">
      <c r="BC547" s="13"/>
      <c r="BD547" s="13"/>
    </row>
    <row r="548" ht="14.25" customHeight="1">
      <c r="BC548" s="13"/>
      <c r="BD548" s="13"/>
    </row>
    <row r="549" ht="14.25" customHeight="1">
      <c r="BC549" s="13"/>
      <c r="BD549" s="13"/>
    </row>
    <row r="550" ht="14.25" customHeight="1">
      <c r="BC550" s="13"/>
      <c r="BD550" s="13"/>
    </row>
    <row r="551" ht="14.25" customHeight="1">
      <c r="BC551" s="13"/>
      <c r="BD551" s="13"/>
    </row>
    <row r="552" ht="14.25" customHeight="1">
      <c r="BC552" s="13"/>
      <c r="BD552" s="13"/>
    </row>
    <row r="553" ht="14.25" customHeight="1">
      <c r="BC553" s="13"/>
      <c r="BD553" s="13"/>
    </row>
    <row r="554" ht="14.25" customHeight="1">
      <c r="BC554" s="13"/>
      <c r="BD554" s="13"/>
    </row>
    <row r="555" ht="14.25" customHeight="1">
      <c r="BC555" s="13"/>
      <c r="BD555" s="13"/>
    </row>
    <row r="556" ht="14.25" customHeight="1">
      <c r="BC556" s="13"/>
      <c r="BD556" s="13"/>
    </row>
    <row r="557" ht="14.25" customHeight="1">
      <c r="BC557" s="13"/>
      <c r="BD557" s="13"/>
    </row>
    <row r="558" ht="14.25" customHeight="1">
      <c r="BC558" s="13"/>
      <c r="BD558" s="13"/>
    </row>
    <row r="559" ht="14.25" customHeight="1">
      <c r="BC559" s="13"/>
      <c r="BD559" s="13"/>
    </row>
    <row r="560" ht="14.25" customHeight="1">
      <c r="BC560" s="13"/>
      <c r="BD560" s="13"/>
    </row>
    <row r="561" ht="14.25" customHeight="1">
      <c r="BC561" s="13"/>
      <c r="BD561" s="13"/>
    </row>
    <row r="562" ht="14.25" customHeight="1">
      <c r="BC562" s="13"/>
      <c r="BD562" s="13"/>
    </row>
    <row r="563" ht="14.25" customHeight="1">
      <c r="BC563" s="13"/>
      <c r="BD563" s="13"/>
    </row>
    <row r="564" ht="14.25" customHeight="1">
      <c r="BC564" s="13"/>
      <c r="BD564" s="13"/>
    </row>
    <row r="565" ht="14.25" customHeight="1">
      <c r="BC565" s="13"/>
      <c r="BD565" s="13"/>
    </row>
    <row r="566" ht="14.25" customHeight="1">
      <c r="BC566" s="13"/>
      <c r="BD566" s="13"/>
    </row>
    <row r="567" ht="14.25" customHeight="1">
      <c r="BC567" s="13"/>
      <c r="BD567" s="13"/>
    </row>
    <row r="568" ht="14.25" customHeight="1">
      <c r="BC568" s="13"/>
      <c r="BD568" s="13"/>
    </row>
    <row r="569" ht="14.25" customHeight="1">
      <c r="BC569" s="13"/>
      <c r="BD569" s="13"/>
    </row>
    <row r="570" ht="14.25" customHeight="1">
      <c r="BC570" s="13"/>
      <c r="BD570" s="13"/>
    </row>
    <row r="571" ht="14.25" customHeight="1">
      <c r="BC571" s="13"/>
      <c r="BD571" s="13"/>
    </row>
    <row r="572" ht="14.25" customHeight="1">
      <c r="BC572" s="13"/>
      <c r="BD572" s="13"/>
    </row>
    <row r="573" ht="14.25" customHeight="1">
      <c r="BC573" s="13"/>
      <c r="BD573" s="13"/>
    </row>
    <row r="574" ht="14.25" customHeight="1">
      <c r="BC574" s="13"/>
      <c r="BD574" s="13"/>
    </row>
    <row r="575" ht="14.25" customHeight="1">
      <c r="BC575" s="13"/>
      <c r="BD575" s="13"/>
    </row>
    <row r="576" ht="14.25" customHeight="1">
      <c r="BC576" s="13"/>
      <c r="BD576" s="13"/>
    </row>
    <row r="577" ht="14.25" customHeight="1">
      <c r="BC577" s="13"/>
      <c r="BD577" s="13"/>
    </row>
    <row r="578" ht="14.25" customHeight="1">
      <c r="BC578" s="13"/>
      <c r="BD578" s="13"/>
    </row>
    <row r="579" ht="14.25" customHeight="1">
      <c r="BC579" s="13"/>
      <c r="BD579" s="13"/>
    </row>
    <row r="580" ht="14.25" customHeight="1">
      <c r="BC580" s="13"/>
      <c r="BD580" s="13"/>
    </row>
    <row r="581" ht="14.25" customHeight="1">
      <c r="BC581" s="13"/>
      <c r="BD581" s="13"/>
    </row>
    <row r="582" ht="14.25" customHeight="1">
      <c r="BC582" s="13"/>
      <c r="BD582" s="13"/>
    </row>
    <row r="583" ht="14.25" customHeight="1">
      <c r="BC583" s="13"/>
      <c r="BD583" s="13"/>
    </row>
    <row r="584" ht="14.25" customHeight="1">
      <c r="BC584" s="13"/>
      <c r="BD584" s="13"/>
    </row>
    <row r="585" ht="14.25" customHeight="1">
      <c r="BC585" s="13"/>
      <c r="BD585" s="13"/>
    </row>
    <row r="586" ht="14.25" customHeight="1">
      <c r="BC586" s="13"/>
      <c r="BD586" s="13"/>
    </row>
    <row r="587" ht="14.25" customHeight="1">
      <c r="BC587" s="13"/>
      <c r="BD587" s="13"/>
    </row>
    <row r="588" ht="14.25" customHeight="1">
      <c r="BC588" s="13"/>
      <c r="BD588" s="13"/>
    </row>
    <row r="589" ht="14.25" customHeight="1">
      <c r="BC589" s="13"/>
      <c r="BD589" s="13"/>
    </row>
    <row r="590" ht="14.25" customHeight="1">
      <c r="BC590" s="13"/>
      <c r="BD590" s="13"/>
    </row>
    <row r="591" ht="14.25" customHeight="1">
      <c r="BC591" s="13"/>
      <c r="BD591" s="13"/>
    </row>
    <row r="592" ht="14.25" customHeight="1">
      <c r="BC592" s="13"/>
      <c r="BD592" s="13"/>
    </row>
    <row r="593" ht="14.25" customHeight="1">
      <c r="BC593" s="13"/>
      <c r="BD593" s="13"/>
    </row>
    <row r="594" ht="14.25" customHeight="1">
      <c r="BC594" s="13"/>
      <c r="BD594" s="13"/>
    </row>
    <row r="595" ht="14.25" customHeight="1">
      <c r="BC595" s="13"/>
      <c r="BD595" s="13"/>
    </row>
    <row r="596" ht="14.25" customHeight="1">
      <c r="BC596" s="13"/>
      <c r="BD596" s="13"/>
    </row>
    <row r="597" ht="14.25" customHeight="1">
      <c r="BC597" s="13"/>
      <c r="BD597" s="13"/>
    </row>
    <row r="598" ht="14.25" customHeight="1">
      <c r="BC598" s="13"/>
      <c r="BD598" s="13"/>
    </row>
    <row r="599" ht="14.25" customHeight="1">
      <c r="BC599" s="13"/>
      <c r="BD599" s="13"/>
    </row>
    <row r="600" ht="14.25" customHeight="1">
      <c r="BC600" s="13"/>
      <c r="BD600" s="13"/>
    </row>
    <row r="601" ht="14.25" customHeight="1">
      <c r="BC601" s="13"/>
      <c r="BD601" s="13"/>
    </row>
    <row r="602" ht="14.25" customHeight="1">
      <c r="BC602" s="13"/>
      <c r="BD602" s="13"/>
    </row>
    <row r="603" ht="14.25" customHeight="1">
      <c r="BC603" s="13"/>
      <c r="BD603" s="13"/>
    </row>
    <row r="604" ht="14.25" customHeight="1">
      <c r="BC604" s="13"/>
      <c r="BD604" s="13"/>
    </row>
    <row r="605" ht="14.25" customHeight="1">
      <c r="BC605" s="13"/>
      <c r="BD605" s="13"/>
    </row>
    <row r="606" ht="14.25" customHeight="1">
      <c r="BC606" s="13"/>
      <c r="BD606" s="13"/>
    </row>
    <row r="607" ht="14.25" customHeight="1">
      <c r="BC607" s="13"/>
      <c r="BD607" s="13"/>
    </row>
    <row r="608" ht="14.25" customHeight="1">
      <c r="BC608" s="13"/>
      <c r="BD608" s="13"/>
    </row>
    <row r="609" ht="14.25" customHeight="1">
      <c r="BC609" s="13"/>
      <c r="BD609" s="13"/>
    </row>
    <row r="610" ht="14.25" customHeight="1">
      <c r="BC610" s="13"/>
      <c r="BD610" s="13"/>
    </row>
    <row r="611" ht="14.25" customHeight="1">
      <c r="BC611" s="13"/>
      <c r="BD611" s="13"/>
    </row>
    <row r="612" ht="14.25" customHeight="1">
      <c r="BC612" s="13"/>
      <c r="BD612" s="13"/>
    </row>
    <row r="613" ht="14.25" customHeight="1">
      <c r="BC613" s="13"/>
      <c r="BD613" s="13"/>
    </row>
    <row r="614" ht="14.25" customHeight="1">
      <c r="BC614" s="13"/>
      <c r="BD614" s="13"/>
    </row>
    <row r="615" ht="14.25" customHeight="1">
      <c r="BC615" s="13"/>
      <c r="BD615" s="13"/>
    </row>
    <row r="616" ht="14.25" customHeight="1">
      <c r="BC616" s="13"/>
      <c r="BD616" s="13"/>
    </row>
    <row r="617" ht="14.25" customHeight="1">
      <c r="BC617" s="13"/>
      <c r="BD617" s="13"/>
    </row>
    <row r="618" ht="14.25" customHeight="1">
      <c r="BC618" s="13"/>
      <c r="BD618" s="13"/>
    </row>
    <row r="619" ht="14.25" customHeight="1">
      <c r="BC619" s="13"/>
      <c r="BD619" s="13"/>
    </row>
    <row r="620" ht="14.25" customHeight="1">
      <c r="BC620" s="13"/>
      <c r="BD620" s="13"/>
    </row>
    <row r="621" ht="14.25" customHeight="1">
      <c r="BC621" s="13"/>
      <c r="BD621" s="13"/>
    </row>
    <row r="622" ht="14.25" customHeight="1">
      <c r="BC622" s="13"/>
      <c r="BD622" s="13"/>
    </row>
    <row r="623" ht="14.25" customHeight="1">
      <c r="BC623" s="13"/>
      <c r="BD623" s="13"/>
    </row>
    <row r="624" ht="14.25" customHeight="1">
      <c r="BC624" s="13"/>
      <c r="BD624" s="13"/>
    </row>
    <row r="625" ht="14.25" customHeight="1">
      <c r="BC625" s="13"/>
      <c r="BD625" s="13"/>
    </row>
    <row r="626" ht="14.25" customHeight="1">
      <c r="BC626" s="13"/>
      <c r="BD626" s="13"/>
    </row>
    <row r="627" ht="14.25" customHeight="1">
      <c r="BC627" s="13"/>
      <c r="BD627" s="13"/>
    </row>
    <row r="628" ht="14.25" customHeight="1">
      <c r="BC628" s="13"/>
      <c r="BD628" s="13"/>
    </row>
    <row r="629" ht="14.25" customHeight="1">
      <c r="BC629" s="13"/>
      <c r="BD629" s="13"/>
    </row>
    <row r="630" ht="14.25" customHeight="1">
      <c r="BC630" s="13"/>
      <c r="BD630" s="13"/>
    </row>
    <row r="631" ht="14.25" customHeight="1">
      <c r="BC631" s="13"/>
      <c r="BD631" s="13"/>
    </row>
    <row r="632" ht="14.25" customHeight="1">
      <c r="BC632" s="13"/>
      <c r="BD632" s="13"/>
    </row>
    <row r="633" ht="14.25" customHeight="1">
      <c r="BC633" s="13"/>
      <c r="BD633" s="13"/>
    </row>
    <row r="634" ht="14.25" customHeight="1">
      <c r="BC634" s="13"/>
      <c r="BD634" s="13"/>
    </row>
    <row r="635" ht="14.25" customHeight="1">
      <c r="BC635" s="13"/>
      <c r="BD635" s="13"/>
    </row>
    <row r="636" ht="14.25" customHeight="1">
      <c r="BC636" s="13"/>
      <c r="BD636" s="13"/>
    </row>
    <row r="637" ht="14.25" customHeight="1">
      <c r="BC637" s="13"/>
      <c r="BD637" s="13"/>
    </row>
    <row r="638" ht="14.25" customHeight="1">
      <c r="BC638" s="13"/>
      <c r="BD638" s="13"/>
    </row>
    <row r="639" ht="14.25" customHeight="1">
      <c r="BC639" s="13"/>
      <c r="BD639" s="13"/>
    </row>
    <row r="640" ht="14.25" customHeight="1">
      <c r="BC640" s="13"/>
      <c r="BD640" s="13"/>
    </row>
    <row r="641" ht="14.25" customHeight="1">
      <c r="BC641" s="13"/>
      <c r="BD641" s="13"/>
    </row>
    <row r="642" ht="14.25" customHeight="1">
      <c r="BC642" s="13"/>
      <c r="BD642" s="13"/>
    </row>
    <row r="643" ht="14.25" customHeight="1">
      <c r="BC643" s="13"/>
      <c r="BD643" s="13"/>
    </row>
    <row r="644" ht="14.25" customHeight="1">
      <c r="BC644" s="13"/>
      <c r="BD644" s="13"/>
    </row>
    <row r="645" ht="14.25" customHeight="1">
      <c r="BC645" s="13"/>
      <c r="BD645" s="13"/>
    </row>
    <row r="646" ht="14.25" customHeight="1">
      <c r="BC646" s="13"/>
      <c r="BD646" s="13"/>
    </row>
    <row r="647" ht="14.25" customHeight="1">
      <c r="BC647" s="13"/>
      <c r="BD647" s="13"/>
    </row>
    <row r="648" ht="14.25" customHeight="1">
      <c r="BC648" s="13"/>
      <c r="BD648" s="13"/>
    </row>
    <row r="649" ht="14.25" customHeight="1">
      <c r="BC649" s="13"/>
      <c r="BD649" s="13"/>
    </row>
    <row r="650" ht="14.25" customHeight="1">
      <c r="BC650" s="13"/>
      <c r="BD650" s="13"/>
    </row>
    <row r="651" ht="14.25" customHeight="1">
      <c r="BC651" s="13"/>
      <c r="BD651" s="13"/>
    </row>
    <row r="652" ht="14.25" customHeight="1">
      <c r="BC652" s="13"/>
      <c r="BD652" s="13"/>
    </row>
    <row r="653" ht="14.25" customHeight="1">
      <c r="BC653" s="13"/>
      <c r="BD653" s="13"/>
    </row>
    <row r="654" ht="14.25" customHeight="1">
      <c r="BC654" s="13"/>
      <c r="BD654" s="13"/>
    </row>
    <row r="655" ht="14.25" customHeight="1">
      <c r="BC655" s="13"/>
      <c r="BD655" s="13"/>
    </row>
    <row r="656" ht="14.25" customHeight="1">
      <c r="BC656" s="13"/>
      <c r="BD656" s="13"/>
    </row>
    <row r="657" ht="14.25" customHeight="1">
      <c r="BC657" s="13"/>
      <c r="BD657" s="13"/>
    </row>
    <row r="658" ht="14.25" customHeight="1">
      <c r="BC658" s="13"/>
      <c r="BD658" s="13"/>
    </row>
    <row r="659" ht="14.25" customHeight="1">
      <c r="BC659" s="13"/>
      <c r="BD659" s="13"/>
    </row>
    <row r="660" ht="14.25" customHeight="1">
      <c r="BC660" s="13"/>
      <c r="BD660" s="13"/>
    </row>
    <row r="661" ht="14.25" customHeight="1">
      <c r="BC661" s="13"/>
      <c r="BD661" s="13"/>
    </row>
    <row r="662" ht="14.25" customHeight="1">
      <c r="BC662" s="13"/>
      <c r="BD662" s="13"/>
    </row>
    <row r="663" ht="14.25" customHeight="1">
      <c r="BC663" s="13"/>
      <c r="BD663" s="13"/>
    </row>
    <row r="664" ht="14.25" customHeight="1">
      <c r="BC664" s="13"/>
      <c r="BD664" s="13"/>
    </row>
    <row r="665" ht="14.25" customHeight="1">
      <c r="BC665" s="13"/>
      <c r="BD665" s="13"/>
    </row>
    <row r="666" ht="14.25" customHeight="1">
      <c r="BC666" s="13"/>
      <c r="BD666" s="13"/>
    </row>
    <row r="667" ht="14.25" customHeight="1">
      <c r="BC667" s="13"/>
      <c r="BD667" s="13"/>
    </row>
    <row r="668" ht="14.25" customHeight="1">
      <c r="BC668" s="13"/>
      <c r="BD668" s="13"/>
    </row>
    <row r="669" ht="14.25" customHeight="1">
      <c r="BC669" s="13"/>
      <c r="BD669" s="13"/>
    </row>
    <row r="670" ht="14.25" customHeight="1">
      <c r="BC670" s="13"/>
      <c r="BD670" s="13"/>
    </row>
    <row r="671" ht="14.25" customHeight="1">
      <c r="BC671" s="13"/>
      <c r="BD671" s="13"/>
    </row>
    <row r="672" ht="14.25" customHeight="1">
      <c r="BC672" s="13"/>
      <c r="BD672" s="13"/>
    </row>
    <row r="673" ht="14.25" customHeight="1">
      <c r="BC673" s="13"/>
      <c r="BD673" s="13"/>
    </row>
    <row r="674" ht="14.25" customHeight="1">
      <c r="BC674" s="13"/>
      <c r="BD674" s="13"/>
    </row>
    <row r="675" ht="14.25" customHeight="1">
      <c r="BC675" s="13"/>
      <c r="BD675" s="13"/>
    </row>
    <row r="676" ht="14.25" customHeight="1">
      <c r="BC676" s="13"/>
      <c r="BD676" s="13"/>
    </row>
    <row r="677" ht="14.25" customHeight="1">
      <c r="BC677" s="13"/>
      <c r="BD677" s="13"/>
    </row>
    <row r="678" ht="14.25" customHeight="1">
      <c r="BC678" s="13"/>
      <c r="BD678" s="13"/>
    </row>
    <row r="679" ht="14.25" customHeight="1">
      <c r="BC679" s="13"/>
      <c r="BD679" s="13"/>
    </row>
    <row r="680" ht="14.25" customHeight="1">
      <c r="BC680" s="13"/>
      <c r="BD680" s="13"/>
    </row>
    <row r="681" ht="14.25" customHeight="1">
      <c r="BC681" s="13"/>
      <c r="BD681" s="13"/>
    </row>
    <row r="682" ht="14.25" customHeight="1">
      <c r="BC682" s="13"/>
      <c r="BD682" s="13"/>
    </row>
    <row r="683" ht="14.25" customHeight="1">
      <c r="BC683" s="13"/>
      <c r="BD683" s="13"/>
    </row>
    <row r="684" ht="14.25" customHeight="1">
      <c r="BC684" s="13"/>
      <c r="BD684" s="13"/>
    </row>
    <row r="685" ht="14.25" customHeight="1">
      <c r="BC685" s="13"/>
      <c r="BD685" s="13"/>
    </row>
    <row r="686" ht="14.25" customHeight="1">
      <c r="BC686" s="13"/>
      <c r="BD686" s="13"/>
    </row>
    <row r="687" ht="14.25" customHeight="1">
      <c r="BC687" s="13"/>
      <c r="BD687" s="13"/>
    </row>
    <row r="688" ht="14.25" customHeight="1">
      <c r="BC688" s="13"/>
      <c r="BD688" s="13"/>
    </row>
    <row r="689" ht="14.25" customHeight="1">
      <c r="BC689" s="13"/>
      <c r="BD689" s="13"/>
    </row>
    <row r="690" ht="14.25" customHeight="1">
      <c r="BC690" s="13"/>
      <c r="BD690" s="13"/>
    </row>
    <row r="691" ht="14.25" customHeight="1">
      <c r="BC691" s="13"/>
      <c r="BD691" s="13"/>
    </row>
    <row r="692" ht="14.25" customHeight="1">
      <c r="BC692" s="13"/>
      <c r="BD692" s="13"/>
    </row>
    <row r="693" ht="14.25" customHeight="1">
      <c r="BC693" s="13"/>
      <c r="BD693" s="13"/>
    </row>
    <row r="694" ht="14.25" customHeight="1">
      <c r="BC694" s="13"/>
      <c r="BD694" s="13"/>
    </row>
    <row r="695" ht="14.25" customHeight="1">
      <c r="BC695" s="13"/>
      <c r="BD695" s="13"/>
    </row>
    <row r="696" ht="14.25" customHeight="1">
      <c r="BC696" s="13"/>
      <c r="BD696" s="13"/>
    </row>
    <row r="697" ht="14.25" customHeight="1">
      <c r="BC697" s="13"/>
      <c r="BD697" s="13"/>
    </row>
    <row r="698" ht="14.25" customHeight="1">
      <c r="BC698" s="13"/>
      <c r="BD698" s="13"/>
    </row>
    <row r="699" ht="14.25" customHeight="1">
      <c r="BC699" s="13"/>
      <c r="BD699" s="13"/>
    </row>
    <row r="700" ht="14.25" customHeight="1">
      <c r="BC700" s="13"/>
      <c r="BD700" s="13"/>
    </row>
    <row r="701" ht="14.25" customHeight="1">
      <c r="BC701" s="13"/>
      <c r="BD701" s="13"/>
    </row>
    <row r="702" ht="14.25" customHeight="1">
      <c r="BC702" s="13"/>
      <c r="BD702" s="13"/>
    </row>
    <row r="703" ht="14.25" customHeight="1">
      <c r="BC703" s="13"/>
      <c r="BD703" s="13"/>
    </row>
    <row r="704" ht="14.25" customHeight="1">
      <c r="BC704" s="13"/>
      <c r="BD704" s="13"/>
    </row>
    <row r="705" ht="14.25" customHeight="1">
      <c r="BC705" s="13"/>
      <c r="BD705" s="13"/>
    </row>
    <row r="706" ht="14.25" customHeight="1">
      <c r="BC706" s="13"/>
      <c r="BD706" s="13"/>
    </row>
    <row r="707" ht="14.25" customHeight="1">
      <c r="BC707" s="13"/>
      <c r="BD707" s="13"/>
    </row>
    <row r="708" ht="14.25" customHeight="1">
      <c r="BC708" s="13"/>
      <c r="BD708" s="13"/>
    </row>
    <row r="709" ht="14.25" customHeight="1">
      <c r="BC709" s="13"/>
      <c r="BD709" s="13"/>
    </row>
    <row r="710" ht="14.25" customHeight="1">
      <c r="BC710" s="13"/>
      <c r="BD710" s="13"/>
    </row>
    <row r="711" ht="14.25" customHeight="1">
      <c r="BC711" s="13"/>
      <c r="BD711" s="13"/>
    </row>
    <row r="712" ht="14.25" customHeight="1">
      <c r="BC712" s="13"/>
      <c r="BD712" s="13"/>
    </row>
    <row r="713" ht="14.25" customHeight="1">
      <c r="BC713" s="13"/>
      <c r="BD713" s="13"/>
    </row>
    <row r="714" ht="14.25" customHeight="1">
      <c r="BC714" s="13"/>
      <c r="BD714" s="13"/>
    </row>
    <row r="715" ht="14.25" customHeight="1">
      <c r="BC715" s="13"/>
      <c r="BD715" s="13"/>
    </row>
    <row r="716" ht="14.25" customHeight="1">
      <c r="BC716" s="13"/>
      <c r="BD716" s="13"/>
    </row>
    <row r="717" ht="14.25" customHeight="1">
      <c r="BC717" s="13"/>
      <c r="BD717" s="13"/>
    </row>
    <row r="718" ht="14.25" customHeight="1">
      <c r="BC718" s="13"/>
      <c r="BD718" s="13"/>
    </row>
    <row r="719" ht="14.25" customHeight="1">
      <c r="BC719" s="13"/>
      <c r="BD719" s="13"/>
    </row>
    <row r="720" ht="14.25" customHeight="1">
      <c r="BC720" s="13"/>
      <c r="BD720" s="13"/>
    </row>
    <row r="721" ht="14.25" customHeight="1">
      <c r="BC721" s="13"/>
      <c r="BD721" s="13"/>
    </row>
    <row r="722" ht="14.25" customHeight="1">
      <c r="BC722" s="13"/>
      <c r="BD722" s="13"/>
    </row>
    <row r="723" ht="14.25" customHeight="1">
      <c r="BC723" s="13"/>
      <c r="BD723" s="13"/>
    </row>
    <row r="724" ht="14.25" customHeight="1">
      <c r="BC724" s="13"/>
      <c r="BD724" s="13"/>
    </row>
    <row r="725" ht="14.25" customHeight="1">
      <c r="BC725" s="13"/>
      <c r="BD725" s="13"/>
    </row>
    <row r="726" ht="14.25" customHeight="1">
      <c r="BC726" s="13"/>
      <c r="BD726" s="13"/>
    </row>
    <row r="727" ht="14.25" customHeight="1">
      <c r="BC727" s="13"/>
      <c r="BD727" s="13"/>
    </row>
    <row r="728" ht="14.25" customHeight="1">
      <c r="BC728" s="13"/>
      <c r="BD728" s="13"/>
    </row>
    <row r="729" ht="14.25" customHeight="1">
      <c r="BC729" s="13"/>
      <c r="BD729" s="13"/>
    </row>
    <row r="730" ht="14.25" customHeight="1">
      <c r="BC730" s="13"/>
      <c r="BD730" s="13"/>
    </row>
    <row r="731" ht="14.25" customHeight="1">
      <c r="BC731" s="13"/>
      <c r="BD731" s="13"/>
    </row>
    <row r="732" ht="14.25" customHeight="1">
      <c r="BC732" s="13"/>
      <c r="BD732" s="13"/>
    </row>
    <row r="733" ht="14.25" customHeight="1">
      <c r="BC733" s="13"/>
      <c r="BD733" s="13"/>
    </row>
    <row r="734" ht="14.25" customHeight="1">
      <c r="BC734" s="13"/>
      <c r="BD734" s="13"/>
    </row>
    <row r="735" ht="14.25" customHeight="1">
      <c r="BC735" s="13"/>
      <c r="BD735" s="13"/>
    </row>
    <row r="736" ht="14.25" customHeight="1">
      <c r="BC736" s="13"/>
      <c r="BD736" s="13"/>
    </row>
    <row r="737" ht="14.25" customHeight="1">
      <c r="BC737" s="13"/>
      <c r="BD737" s="13"/>
    </row>
    <row r="738" ht="14.25" customHeight="1">
      <c r="BC738" s="13"/>
      <c r="BD738" s="13"/>
    </row>
    <row r="739" ht="14.25" customHeight="1">
      <c r="BC739" s="13"/>
      <c r="BD739" s="13"/>
    </row>
    <row r="740" ht="14.25" customHeight="1">
      <c r="BC740" s="13"/>
      <c r="BD740" s="13"/>
    </row>
    <row r="741" ht="14.25" customHeight="1">
      <c r="BC741" s="13"/>
      <c r="BD741" s="13"/>
    </row>
    <row r="742" ht="14.25" customHeight="1">
      <c r="BC742" s="13"/>
      <c r="BD742" s="13"/>
    </row>
    <row r="743" ht="14.25" customHeight="1">
      <c r="BC743" s="13"/>
      <c r="BD743" s="13"/>
    </row>
    <row r="744" ht="14.25" customHeight="1">
      <c r="BC744" s="13"/>
      <c r="BD744" s="13"/>
    </row>
    <row r="745" ht="14.25" customHeight="1">
      <c r="BC745" s="13"/>
      <c r="BD745" s="13"/>
    </row>
    <row r="746" ht="14.25" customHeight="1">
      <c r="BC746" s="13"/>
      <c r="BD746" s="13"/>
    </row>
    <row r="747" ht="14.25" customHeight="1">
      <c r="BC747" s="13"/>
      <c r="BD747" s="13"/>
    </row>
    <row r="748" ht="14.25" customHeight="1">
      <c r="BC748" s="13"/>
      <c r="BD748" s="13"/>
    </row>
    <row r="749" ht="14.25" customHeight="1">
      <c r="BC749" s="13"/>
      <c r="BD749" s="13"/>
    </row>
    <row r="750" ht="14.25" customHeight="1">
      <c r="BC750" s="13"/>
      <c r="BD750" s="13"/>
    </row>
    <row r="751" ht="14.25" customHeight="1">
      <c r="BC751" s="13"/>
      <c r="BD751" s="13"/>
    </row>
    <row r="752" ht="14.25" customHeight="1">
      <c r="BC752" s="13"/>
      <c r="BD752" s="13"/>
    </row>
    <row r="753" ht="14.25" customHeight="1">
      <c r="BC753" s="13"/>
      <c r="BD753" s="13"/>
    </row>
    <row r="754" ht="14.25" customHeight="1">
      <c r="BC754" s="13"/>
      <c r="BD754" s="13"/>
    </row>
    <row r="755" ht="14.25" customHeight="1">
      <c r="BC755" s="13"/>
      <c r="BD755" s="13"/>
    </row>
    <row r="756" ht="14.25" customHeight="1">
      <c r="BC756" s="13"/>
      <c r="BD756" s="13"/>
    </row>
    <row r="757" ht="14.25" customHeight="1">
      <c r="BC757" s="13"/>
      <c r="BD757" s="13"/>
    </row>
    <row r="758" ht="14.25" customHeight="1">
      <c r="BC758" s="13"/>
      <c r="BD758" s="13"/>
    </row>
    <row r="759" ht="14.25" customHeight="1">
      <c r="BC759" s="13"/>
      <c r="BD759" s="13"/>
    </row>
    <row r="760" ht="14.25" customHeight="1">
      <c r="BC760" s="13"/>
      <c r="BD760" s="13"/>
    </row>
    <row r="761" ht="14.25" customHeight="1">
      <c r="BC761" s="13"/>
      <c r="BD761" s="13"/>
    </row>
    <row r="762" ht="14.25" customHeight="1">
      <c r="BC762" s="13"/>
      <c r="BD762" s="13"/>
    </row>
    <row r="763" ht="14.25" customHeight="1">
      <c r="BC763" s="13"/>
      <c r="BD763" s="13"/>
    </row>
    <row r="764" ht="14.25" customHeight="1">
      <c r="BC764" s="13"/>
      <c r="BD764" s="13"/>
    </row>
    <row r="765" ht="14.25" customHeight="1">
      <c r="BC765" s="13"/>
      <c r="BD765" s="13"/>
    </row>
    <row r="766" ht="14.25" customHeight="1">
      <c r="BC766" s="13"/>
      <c r="BD766" s="13"/>
    </row>
    <row r="767" ht="14.25" customHeight="1">
      <c r="BC767" s="13"/>
      <c r="BD767" s="13"/>
    </row>
    <row r="768" ht="14.25" customHeight="1">
      <c r="BC768" s="13"/>
      <c r="BD768" s="13"/>
    </row>
    <row r="769" ht="14.25" customHeight="1">
      <c r="BC769" s="13"/>
      <c r="BD769" s="13"/>
    </row>
    <row r="770" ht="14.25" customHeight="1">
      <c r="BC770" s="13"/>
      <c r="BD770" s="13"/>
    </row>
    <row r="771" ht="14.25" customHeight="1">
      <c r="BC771" s="13"/>
      <c r="BD771" s="13"/>
    </row>
    <row r="772" ht="14.25" customHeight="1">
      <c r="BC772" s="13"/>
      <c r="BD772" s="13"/>
    </row>
    <row r="773" ht="14.25" customHeight="1">
      <c r="BC773" s="13"/>
      <c r="BD773" s="13"/>
    </row>
    <row r="774" ht="14.25" customHeight="1">
      <c r="BC774" s="13"/>
      <c r="BD774" s="13"/>
    </row>
    <row r="775" ht="14.25" customHeight="1">
      <c r="BC775" s="13"/>
      <c r="BD775" s="13"/>
    </row>
    <row r="776" ht="14.25" customHeight="1">
      <c r="BC776" s="13"/>
      <c r="BD776" s="13"/>
    </row>
    <row r="777" ht="14.25" customHeight="1">
      <c r="BC777" s="13"/>
      <c r="BD777" s="13"/>
    </row>
    <row r="778" ht="14.25" customHeight="1">
      <c r="BC778" s="13"/>
      <c r="BD778" s="13"/>
    </row>
    <row r="779" ht="14.25" customHeight="1">
      <c r="BC779" s="13"/>
      <c r="BD779" s="13"/>
    </row>
    <row r="780" ht="14.25" customHeight="1">
      <c r="BC780" s="13"/>
      <c r="BD780" s="13"/>
    </row>
    <row r="781" ht="14.25" customHeight="1">
      <c r="BC781" s="13"/>
      <c r="BD781" s="13"/>
    </row>
    <row r="782" ht="14.25" customHeight="1">
      <c r="BC782" s="13"/>
      <c r="BD782" s="13"/>
    </row>
    <row r="783" ht="14.25" customHeight="1">
      <c r="BC783" s="13"/>
      <c r="BD783" s="13"/>
    </row>
    <row r="784" ht="14.25" customHeight="1">
      <c r="BC784" s="13"/>
      <c r="BD784" s="13"/>
    </row>
    <row r="785" ht="14.25" customHeight="1">
      <c r="BC785" s="13"/>
      <c r="BD785" s="13"/>
    </row>
    <row r="786" ht="14.25" customHeight="1">
      <c r="BC786" s="13"/>
      <c r="BD786" s="13"/>
    </row>
    <row r="787" ht="14.25" customHeight="1">
      <c r="BC787" s="13"/>
      <c r="BD787" s="13"/>
    </row>
    <row r="788" ht="14.25" customHeight="1">
      <c r="BC788" s="13"/>
      <c r="BD788" s="13"/>
    </row>
    <row r="789" ht="14.25" customHeight="1">
      <c r="BC789" s="13"/>
      <c r="BD789" s="13"/>
    </row>
    <row r="790" ht="14.25" customHeight="1">
      <c r="BC790" s="13"/>
      <c r="BD790" s="13"/>
    </row>
    <row r="791" ht="14.25" customHeight="1">
      <c r="BC791" s="13"/>
      <c r="BD791" s="13"/>
    </row>
    <row r="792" ht="14.25" customHeight="1">
      <c r="BC792" s="13"/>
      <c r="BD792" s="13"/>
    </row>
    <row r="793" ht="14.25" customHeight="1">
      <c r="BC793" s="13"/>
      <c r="BD793" s="13"/>
    </row>
    <row r="794" ht="14.25" customHeight="1">
      <c r="BC794" s="13"/>
      <c r="BD794" s="13"/>
    </row>
    <row r="795" ht="14.25" customHeight="1">
      <c r="BC795" s="13"/>
      <c r="BD795" s="13"/>
    </row>
    <row r="796" ht="14.25" customHeight="1">
      <c r="BC796" s="13"/>
      <c r="BD796" s="13"/>
    </row>
    <row r="797" ht="14.25" customHeight="1">
      <c r="BC797" s="13"/>
      <c r="BD797" s="13"/>
    </row>
    <row r="798" ht="14.25" customHeight="1">
      <c r="BC798" s="13"/>
      <c r="BD798" s="13"/>
    </row>
    <row r="799" ht="14.25" customHeight="1">
      <c r="BC799" s="13"/>
      <c r="BD799" s="13"/>
    </row>
    <row r="800" ht="14.25" customHeight="1">
      <c r="BC800" s="13"/>
      <c r="BD800" s="13"/>
    </row>
    <row r="801" ht="14.25" customHeight="1">
      <c r="BC801" s="13"/>
      <c r="BD801" s="13"/>
    </row>
    <row r="802" ht="14.25" customHeight="1">
      <c r="BC802" s="13"/>
      <c r="BD802" s="13"/>
    </row>
    <row r="803" ht="14.25" customHeight="1">
      <c r="BC803" s="13"/>
      <c r="BD803" s="13"/>
    </row>
    <row r="804" ht="14.25" customHeight="1">
      <c r="BC804" s="13"/>
      <c r="BD804" s="13"/>
    </row>
    <row r="805" ht="14.25" customHeight="1">
      <c r="BC805" s="13"/>
      <c r="BD805" s="13"/>
    </row>
    <row r="806" ht="14.25" customHeight="1">
      <c r="BC806" s="13"/>
      <c r="BD806" s="13"/>
    </row>
    <row r="807" ht="14.25" customHeight="1">
      <c r="BC807" s="13"/>
      <c r="BD807" s="13"/>
    </row>
    <row r="808" ht="14.25" customHeight="1">
      <c r="BC808" s="13"/>
      <c r="BD808" s="13"/>
    </row>
    <row r="809" ht="14.25" customHeight="1">
      <c r="BC809" s="13"/>
      <c r="BD809" s="13"/>
    </row>
    <row r="810" ht="14.25" customHeight="1">
      <c r="BC810" s="13"/>
      <c r="BD810" s="13"/>
    </row>
    <row r="811" ht="14.25" customHeight="1">
      <c r="BC811" s="13"/>
      <c r="BD811" s="13"/>
    </row>
    <row r="812" ht="14.25" customHeight="1">
      <c r="BC812" s="13"/>
      <c r="BD812" s="13"/>
    </row>
    <row r="813" ht="14.25" customHeight="1">
      <c r="BC813" s="13"/>
      <c r="BD813" s="13"/>
    </row>
    <row r="814" ht="14.25" customHeight="1">
      <c r="BC814" s="13"/>
      <c r="BD814" s="13"/>
    </row>
    <row r="815" ht="14.25" customHeight="1">
      <c r="BC815" s="13"/>
      <c r="BD815" s="13"/>
    </row>
    <row r="816" ht="14.25" customHeight="1">
      <c r="BC816" s="13"/>
      <c r="BD816" s="13"/>
    </row>
    <row r="817" ht="14.25" customHeight="1">
      <c r="BC817" s="13"/>
      <c r="BD817" s="13"/>
    </row>
    <row r="818" ht="14.25" customHeight="1">
      <c r="BC818" s="13"/>
      <c r="BD818" s="13"/>
    </row>
    <row r="819" ht="14.25" customHeight="1">
      <c r="BC819" s="13"/>
      <c r="BD819" s="13"/>
    </row>
    <row r="820" ht="14.25" customHeight="1">
      <c r="BC820" s="13"/>
      <c r="BD820" s="13"/>
    </row>
    <row r="821" ht="14.25" customHeight="1">
      <c r="BC821" s="13"/>
      <c r="BD821" s="13"/>
    </row>
    <row r="822" ht="14.25" customHeight="1">
      <c r="BC822" s="13"/>
      <c r="BD822" s="13"/>
    </row>
    <row r="823" ht="14.25" customHeight="1">
      <c r="BC823" s="13"/>
      <c r="BD823" s="13"/>
    </row>
    <row r="824" ht="14.25" customHeight="1">
      <c r="BC824" s="13"/>
      <c r="BD824" s="13"/>
    </row>
    <row r="825" ht="14.25" customHeight="1">
      <c r="BC825" s="13"/>
      <c r="BD825" s="13"/>
    </row>
    <row r="826" ht="14.25" customHeight="1">
      <c r="BC826" s="13"/>
      <c r="BD826" s="13"/>
    </row>
    <row r="827" ht="14.25" customHeight="1">
      <c r="BC827" s="13"/>
      <c r="BD827" s="13"/>
    </row>
    <row r="828" ht="14.25" customHeight="1">
      <c r="BC828" s="13"/>
      <c r="BD828" s="13"/>
    </row>
    <row r="829" ht="14.25" customHeight="1">
      <c r="BC829" s="13"/>
      <c r="BD829" s="13"/>
    </row>
    <row r="830" ht="14.25" customHeight="1">
      <c r="BC830" s="13"/>
      <c r="BD830" s="13"/>
    </row>
    <row r="831" ht="14.25" customHeight="1">
      <c r="BC831" s="13"/>
      <c r="BD831" s="13"/>
    </row>
    <row r="832" ht="14.25" customHeight="1">
      <c r="BC832" s="13"/>
      <c r="BD832" s="13"/>
    </row>
    <row r="833" ht="14.25" customHeight="1">
      <c r="BC833" s="13"/>
      <c r="BD833" s="13"/>
    </row>
    <row r="834" ht="14.25" customHeight="1">
      <c r="BC834" s="13"/>
      <c r="BD834" s="13"/>
    </row>
    <row r="835" ht="14.25" customHeight="1">
      <c r="BC835" s="13"/>
      <c r="BD835" s="13"/>
    </row>
    <row r="836" ht="14.25" customHeight="1">
      <c r="BC836" s="13"/>
      <c r="BD836" s="13"/>
    </row>
    <row r="837" ht="14.25" customHeight="1">
      <c r="BC837" s="13"/>
      <c r="BD837" s="13"/>
    </row>
    <row r="838" ht="14.25" customHeight="1">
      <c r="BC838" s="13"/>
      <c r="BD838" s="13"/>
    </row>
    <row r="839" ht="14.25" customHeight="1">
      <c r="BC839" s="13"/>
      <c r="BD839" s="13"/>
    </row>
    <row r="840" ht="14.25" customHeight="1">
      <c r="BC840" s="13"/>
      <c r="BD840" s="13"/>
    </row>
    <row r="841" ht="14.25" customHeight="1">
      <c r="BC841" s="13"/>
      <c r="BD841" s="13"/>
    </row>
    <row r="842" ht="14.25" customHeight="1">
      <c r="BC842" s="13"/>
      <c r="BD842" s="13"/>
    </row>
    <row r="843" ht="14.25" customHeight="1">
      <c r="BC843" s="13"/>
      <c r="BD843" s="13"/>
    </row>
    <row r="844" ht="14.25" customHeight="1">
      <c r="BC844" s="13"/>
      <c r="BD844" s="13"/>
    </row>
    <row r="845" ht="14.25" customHeight="1">
      <c r="BC845" s="13"/>
      <c r="BD845" s="13"/>
    </row>
    <row r="846" ht="14.25" customHeight="1">
      <c r="BC846" s="13"/>
      <c r="BD846" s="13"/>
    </row>
    <row r="847" ht="14.25" customHeight="1">
      <c r="BC847" s="13"/>
      <c r="BD847" s="13"/>
    </row>
    <row r="848" ht="14.25" customHeight="1">
      <c r="BC848" s="13"/>
      <c r="BD848" s="13"/>
    </row>
    <row r="849" ht="14.25" customHeight="1">
      <c r="BC849" s="13"/>
      <c r="BD849" s="13"/>
    </row>
    <row r="850" ht="14.25" customHeight="1">
      <c r="BC850" s="13"/>
      <c r="BD850" s="13"/>
    </row>
    <row r="851" ht="14.25" customHeight="1">
      <c r="BC851" s="13"/>
      <c r="BD851" s="13"/>
    </row>
    <row r="852" ht="14.25" customHeight="1">
      <c r="BC852" s="13"/>
      <c r="BD852" s="13"/>
    </row>
    <row r="853" ht="14.25" customHeight="1">
      <c r="BC853" s="13"/>
      <c r="BD853" s="13"/>
    </row>
    <row r="854" ht="14.25" customHeight="1">
      <c r="BC854" s="13"/>
      <c r="BD854" s="13"/>
    </row>
    <row r="855" ht="14.25" customHeight="1">
      <c r="BC855" s="13"/>
      <c r="BD855" s="13"/>
    </row>
    <row r="856" ht="14.25" customHeight="1">
      <c r="BC856" s="13"/>
      <c r="BD856" s="13"/>
    </row>
    <row r="857" ht="14.25" customHeight="1">
      <c r="BC857" s="13"/>
      <c r="BD857" s="13"/>
    </row>
    <row r="858" ht="14.25" customHeight="1">
      <c r="BC858" s="13"/>
      <c r="BD858" s="13"/>
    </row>
    <row r="859" ht="14.25" customHeight="1">
      <c r="BC859" s="13"/>
      <c r="BD859" s="13"/>
    </row>
    <row r="860" ht="14.25" customHeight="1">
      <c r="BC860" s="13"/>
      <c r="BD860" s="13"/>
    </row>
    <row r="861" ht="14.25" customHeight="1">
      <c r="BC861" s="13"/>
      <c r="BD861" s="13"/>
    </row>
    <row r="862" ht="14.25" customHeight="1">
      <c r="BC862" s="13"/>
      <c r="BD862" s="13"/>
    </row>
    <row r="863" ht="14.25" customHeight="1">
      <c r="BC863" s="13"/>
      <c r="BD863" s="13"/>
    </row>
    <row r="864" ht="14.25" customHeight="1">
      <c r="BC864" s="13"/>
      <c r="BD864" s="13"/>
    </row>
    <row r="865" ht="14.25" customHeight="1">
      <c r="BC865" s="13"/>
      <c r="BD865" s="13"/>
    </row>
    <row r="866" ht="14.25" customHeight="1">
      <c r="BC866" s="13"/>
      <c r="BD866" s="13"/>
    </row>
    <row r="867" ht="14.25" customHeight="1">
      <c r="BC867" s="13"/>
      <c r="BD867" s="13"/>
    </row>
    <row r="868" ht="14.25" customHeight="1">
      <c r="BC868" s="13"/>
      <c r="BD868" s="13"/>
    </row>
    <row r="869" ht="14.25" customHeight="1">
      <c r="BC869" s="13"/>
      <c r="BD869" s="13"/>
    </row>
    <row r="870" ht="14.25" customHeight="1">
      <c r="BC870" s="13"/>
      <c r="BD870" s="13"/>
    </row>
    <row r="871" ht="14.25" customHeight="1">
      <c r="BC871" s="13"/>
      <c r="BD871" s="13"/>
    </row>
    <row r="872" ht="14.25" customHeight="1">
      <c r="BC872" s="13"/>
      <c r="BD872" s="13"/>
    </row>
    <row r="873" ht="14.25" customHeight="1">
      <c r="BC873" s="13"/>
      <c r="BD873" s="13"/>
    </row>
    <row r="874" ht="14.25" customHeight="1">
      <c r="BC874" s="13"/>
      <c r="BD874" s="13"/>
    </row>
    <row r="875" ht="14.25" customHeight="1">
      <c r="BC875" s="13"/>
      <c r="BD875" s="13"/>
    </row>
    <row r="876" ht="14.25" customHeight="1">
      <c r="BC876" s="13"/>
      <c r="BD876" s="13"/>
    </row>
    <row r="877" ht="14.25" customHeight="1">
      <c r="BC877" s="13"/>
      <c r="BD877" s="13"/>
    </row>
    <row r="878" ht="14.25" customHeight="1">
      <c r="BC878" s="13"/>
      <c r="BD878" s="13"/>
    </row>
    <row r="879" ht="14.25" customHeight="1">
      <c r="BC879" s="13"/>
      <c r="BD879" s="13"/>
    </row>
    <row r="880" ht="14.25" customHeight="1">
      <c r="BC880" s="13"/>
      <c r="BD880" s="13"/>
    </row>
    <row r="881" ht="14.25" customHeight="1">
      <c r="BC881" s="13"/>
      <c r="BD881" s="13"/>
    </row>
    <row r="882" ht="14.25" customHeight="1">
      <c r="BC882" s="13"/>
      <c r="BD882" s="13"/>
    </row>
    <row r="883" ht="14.25" customHeight="1">
      <c r="BC883" s="13"/>
      <c r="BD883" s="13"/>
    </row>
    <row r="884" ht="14.25" customHeight="1">
      <c r="BC884" s="13"/>
      <c r="BD884" s="13"/>
    </row>
    <row r="885" ht="14.25" customHeight="1">
      <c r="BC885" s="13"/>
      <c r="BD885" s="13"/>
    </row>
    <row r="886" ht="14.25" customHeight="1">
      <c r="BC886" s="13"/>
      <c r="BD886" s="13"/>
    </row>
    <row r="887" ht="14.25" customHeight="1">
      <c r="BC887" s="13"/>
      <c r="BD887" s="13"/>
    </row>
    <row r="888" ht="14.25" customHeight="1">
      <c r="BC888" s="13"/>
      <c r="BD888" s="13"/>
    </row>
    <row r="889" ht="14.25" customHeight="1">
      <c r="BC889" s="13"/>
      <c r="BD889" s="13"/>
    </row>
    <row r="890" ht="14.25" customHeight="1">
      <c r="BC890" s="13"/>
      <c r="BD890" s="13"/>
    </row>
    <row r="891" ht="14.25" customHeight="1">
      <c r="BC891" s="13"/>
      <c r="BD891" s="13"/>
    </row>
    <row r="892" ht="14.25" customHeight="1">
      <c r="BC892" s="13"/>
      <c r="BD892" s="13"/>
    </row>
    <row r="893" ht="14.25" customHeight="1">
      <c r="BC893" s="13"/>
      <c r="BD893" s="13"/>
    </row>
    <row r="894" ht="14.25" customHeight="1">
      <c r="BC894" s="13"/>
      <c r="BD894" s="13"/>
    </row>
    <row r="895" ht="14.25" customHeight="1">
      <c r="BC895" s="13"/>
      <c r="BD895" s="13"/>
    </row>
    <row r="896" ht="14.25" customHeight="1">
      <c r="BC896" s="13"/>
      <c r="BD896" s="13"/>
    </row>
    <row r="897" ht="14.25" customHeight="1">
      <c r="BC897" s="13"/>
      <c r="BD897" s="13"/>
    </row>
    <row r="898" ht="14.25" customHeight="1">
      <c r="BC898" s="13"/>
      <c r="BD898" s="13"/>
    </row>
    <row r="899" ht="14.25" customHeight="1">
      <c r="BC899" s="13"/>
      <c r="BD899" s="13"/>
    </row>
    <row r="900" ht="14.25" customHeight="1">
      <c r="BC900" s="13"/>
      <c r="BD900" s="13"/>
    </row>
    <row r="901" ht="14.25" customHeight="1">
      <c r="BC901" s="13"/>
      <c r="BD901" s="13"/>
    </row>
    <row r="902" ht="14.25" customHeight="1">
      <c r="BC902" s="13"/>
      <c r="BD902" s="13"/>
    </row>
    <row r="903" ht="14.25" customHeight="1">
      <c r="BC903" s="13"/>
      <c r="BD903" s="13"/>
    </row>
    <row r="904" ht="14.25" customHeight="1">
      <c r="BC904" s="13"/>
      <c r="BD904" s="13"/>
    </row>
    <row r="905" ht="14.25" customHeight="1">
      <c r="BC905" s="13"/>
      <c r="BD905" s="13"/>
    </row>
    <row r="906" ht="14.25" customHeight="1">
      <c r="BC906" s="13"/>
      <c r="BD906" s="13"/>
    </row>
    <row r="907" ht="14.25" customHeight="1">
      <c r="BC907" s="13"/>
      <c r="BD907" s="13"/>
    </row>
    <row r="908" ht="14.25" customHeight="1">
      <c r="BC908" s="13"/>
      <c r="BD908" s="13"/>
    </row>
    <row r="909" ht="14.25" customHeight="1">
      <c r="BC909" s="13"/>
      <c r="BD909" s="13"/>
    </row>
    <row r="910" ht="14.25" customHeight="1">
      <c r="BC910" s="13"/>
      <c r="BD910" s="13"/>
    </row>
    <row r="911" ht="14.25" customHeight="1">
      <c r="BC911" s="13"/>
      <c r="BD911" s="13"/>
    </row>
    <row r="912" ht="14.25" customHeight="1">
      <c r="BC912" s="13"/>
      <c r="BD912" s="13"/>
    </row>
    <row r="913" ht="14.25" customHeight="1">
      <c r="BC913" s="13"/>
      <c r="BD913" s="13"/>
    </row>
    <row r="914" ht="14.25" customHeight="1">
      <c r="BC914" s="13"/>
      <c r="BD914" s="13"/>
    </row>
    <row r="915" ht="14.25" customHeight="1">
      <c r="BC915" s="13"/>
      <c r="BD915" s="13"/>
    </row>
    <row r="916" ht="14.25" customHeight="1">
      <c r="BC916" s="13"/>
      <c r="BD916" s="13"/>
    </row>
    <row r="917" ht="14.25" customHeight="1">
      <c r="BC917" s="13"/>
      <c r="BD917" s="13"/>
    </row>
    <row r="918" ht="14.25" customHeight="1">
      <c r="BC918" s="13"/>
      <c r="BD918" s="13"/>
    </row>
    <row r="919" ht="14.25" customHeight="1">
      <c r="BC919" s="13"/>
      <c r="BD919" s="13"/>
    </row>
    <row r="920" ht="14.25" customHeight="1">
      <c r="BC920" s="13"/>
      <c r="BD920" s="13"/>
    </row>
    <row r="921" ht="14.25" customHeight="1">
      <c r="BC921" s="13"/>
      <c r="BD921" s="13"/>
    </row>
    <row r="922" ht="14.25" customHeight="1">
      <c r="BC922" s="13"/>
      <c r="BD922" s="13"/>
    </row>
    <row r="923" ht="14.25" customHeight="1">
      <c r="BC923" s="13"/>
      <c r="BD923" s="13"/>
    </row>
    <row r="924" ht="14.25" customHeight="1">
      <c r="BC924" s="13"/>
      <c r="BD924" s="13"/>
    </row>
    <row r="925" ht="14.25" customHeight="1">
      <c r="BC925" s="13"/>
      <c r="BD925" s="13"/>
    </row>
    <row r="926" ht="14.25" customHeight="1">
      <c r="BC926" s="13"/>
      <c r="BD926" s="13"/>
    </row>
    <row r="927" ht="14.25" customHeight="1">
      <c r="BC927" s="13"/>
      <c r="BD927" s="13"/>
    </row>
    <row r="928" ht="14.25" customHeight="1">
      <c r="BC928" s="13"/>
      <c r="BD928" s="13"/>
    </row>
    <row r="929" ht="14.25" customHeight="1">
      <c r="BC929" s="13"/>
      <c r="BD929" s="13"/>
    </row>
    <row r="930" ht="14.25" customHeight="1">
      <c r="BC930" s="13"/>
      <c r="BD930" s="13"/>
    </row>
    <row r="931" ht="14.25" customHeight="1">
      <c r="BC931" s="13"/>
      <c r="BD931" s="13"/>
    </row>
    <row r="932" ht="14.25" customHeight="1">
      <c r="BC932" s="13"/>
      <c r="BD932" s="13"/>
    </row>
    <row r="933" ht="14.25" customHeight="1">
      <c r="BC933" s="13"/>
      <c r="BD933" s="13"/>
    </row>
    <row r="934" ht="14.25" customHeight="1">
      <c r="BC934" s="13"/>
      <c r="BD934" s="13"/>
    </row>
    <row r="935" ht="14.25" customHeight="1">
      <c r="BC935" s="13"/>
      <c r="BD935" s="13"/>
    </row>
    <row r="936" ht="14.25" customHeight="1">
      <c r="BC936" s="13"/>
      <c r="BD936" s="13"/>
    </row>
    <row r="937" ht="14.25" customHeight="1">
      <c r="BC937" s="13"/>
      <c r="BD937" s="13"/>
    </row>
    <row r="938" ht="14.25" customHeight="1">
      <c r="BC938" s="13"/>
      <c r="BD938" s="13"/>
    </row>
    <row r="939" ht="14.25" customHeight="1">
      <c r="BC939" s="13"/>
      <c r="BD939" s="13"/>
    </row>
    <row r="940" ht="14.25" customHeight="1">
      <c r="BC940" s="13"/>
      <c r="BD940" s="13"/>
    </row>
    <row r="941" ht="14.25" customHeight="1">
      <c r="BC941" s="13"/>
      <c r="BD941" s="13"/>
    </row>
    <row r="942" ht="14.25" customHeight="1">
      <c r="BC942" s="13"/>
      <c r="BD942" s="13"/>
    </row>
    <row r="943" ht="14.25" customHeight="1">
      <c r="BC943" s="13"/>
      <c r="BD943" s="13"/>
    </row>
    <row r="944" ht="14.25" customHeight="1">
      <c r="BC944" s="13"/>
      <c r="BD944" s="13"/>
    </row>
    <row r="945" ht="14.25" customHeight="1">
      <c r="BC945" s="13"/>
      <c r="BD945" s="13"/>
    </row>
    <row r="946" ht="14.25" customHeight="1">
      <c r="BC946" s="13"/>
      <c r="BD946" s="13"/>
    </row>
    <row r="947" ht="14.25" customHeight="1">
      <c r="BC947" s="13"/>
      <c r="BD947" s="13"/>
    </row>
    <row r="948" ht="14.25" customHeight="1">
      <c r="BC948" s="13"/>
      <c r="BD948" s="13"/>
    </row>
    <row r="949" ht="14.25" customHeight="1">
      <c r="BC949" s="13"/>
      <c r="BD949" s="13"/>
    </row>
    <row r="950" ht="14.25" customHeight="1">
      <c r="BC950" s="13"/>
      <c r="BD950" s="13"/>
    </row>
    <row r="951" ht="14.25" customHeight="1">
      <c r="BC951" s="13"/>
      <c r="BD951" s="13"/>
    </row>
    <row r="952" ht="14.25" customHeight="1">
      <c r="BC952" s="13"/>
      <c r="BD952" s="13"/>
    </row>
    <row r="953" ht="14.25" customHeight="1">
      <c r="BC953" s="13"/>
      <c r="BD953" s="13"/>
    </row>
    <row r="954" ht="14.25" customHeight="1">
      <c r="BC954" s="13"/>
      <c r="BD954" s="13"/>
    </row>
    <row r="955" ht="14.25" customHeight="1">
      <c r="BC955" s="13"/>
      <c r="BD955" s="13"/>
    </row>
    <row r="956" ht="14.25" customHeight="1">
      <c r="BC956" s="13"/>
      <c r="BD956" s="13"/>
    </row>
    <row r="957" ht="14.25" customHeight="1">
      <c r="BC957" s="13"/>
      <c r="BD957" s="13"/>
    </row>
    <row r="958" ht="14.25" customHeight="1">
      <c r="BC958" s="13"/>
      <c r="BD958" s="13"/>
    </row>
    <row r="959" ht="14.25" customHeight="1">
      <c r="BC959" s="13"/>
      <c r="BD959" s="13"/>
    </row>
    <row r="960" ht="14.25" customHeight="1">
      <c r="BC960" s="13"/>
      <c r="BD960" s="13"/>
    </row>
    <row r="961" ht="14.25" customHeight="1">
      <c r="BC961" s="13"/>
      <c r="BD961" s="13"/>
    </row>
    <row r="962" ht="14.25" customHeight="1">
      <c r="BC962" s="13"/>
      <c r="BD962" s="13"/>
    </row>
    <row r="963" ht="14.25" customHeight="1">
      <c r="BC963" s="13"/>
      <c r="BD963" s="13"/>
    </row>
    <row r="964" ht="14.25" customHeight="1">
      <c r="BC964" s="13"/>
      <c r="BD964" s="13"/>
    </row>
    <row r="965" ht="14.25" customHeight="1">
      <c r="BC965" s="13"/>
      <c r="BD965" s="13"/>
    </row>
    <row r="966" ht="14.25" customHeight="1">
      <c r="BC966" s="13"/>
      <c r="BD966" s="13"/>
    </row>
    <row r="967" ht="14.25" customHeight="1">
      <c r="BC967" s="13"/>
      <c r="BD967" s="13"/>
    </row>
  </sheetData>
  <hyperlinks>
    <hyperlink r:id="rId1" ref="E2"/>
    <hyperlink r:id="rId2" ref="R2"/>
    <hyperlink r:id="rId3" ref="T2"/>
    <hyperlink r:id="rId4" ref="AZ2"/>
    <hyperlink r:id="rId5" ref="BE2"/>
    <hyperlink r:id="rId6" ref="E3"/>
    <hyperlink r:id="rId7" ref="R3"/>
    <hyperlink r:id="rId8" ref="T3"/>
    <hyperlink r:id="rId9" ref="AZ3"/>
    <hyperlink r:id="rId10" ref="BE3"/>
    <hyperlink r:id="rId11" ref="E4"/>
    <hyperlink r:id="rId12" ref="R4"/>
    <hyperlink r:id="rId13" ref="T4"/>
    <hyperlink r:id="rId14" ref="AZ4"/>
    <hyperlink r:id="rId15" ref="BE4"/>
    <hyperlink r:id="rId16" ref="E5"/>
    <hyperlink r:id="rId17" ref="R5"/>
    <hyperlink r:id="rId18" ref="T5"/>
    <hyperlink r:id="rId19" ref="AZ5"/>
    <hyperlink r:id="rId20" ref="BE5"/>
    <hyperlink r:id="rId21" ref="E6"/>
    <hyperlink r:id="rId22" ref="R6"/>
    <hyperlink r:id="rId23" ref="T6"/>
    <hyperlink r:id="rId24" ref="AZ6"/>
    <hyperlink r:id="rId25" ref="BE6"/>
    <hyperlink r:id="rId26" ref="E9"/>
    <hyperlink r:id="rId27" ref="R9"/>
    <hyperlink r:id="rId28" ref="T9"/>
    <hyperlink r:id="rId29" ref="AZ9"/>
    <hyperlink r:id="rId30" ref="BE9"/>
    <hyperlink r:id="rId31" ref="E10"/>
    <hyperlink r:id="rId32" ref="R10"/>
    <hyperlink r:id="rId33" ref="T10"/>
    <hyperlink r:id="rId34" ref="AZ10"/>
    <hyperlink r:id="rId35" ref="BE10"/>
    <hyperlink r:id="rId36" ref="E11"/>
    <hyperlink r:id="rId37" ref="R11"/>
    <hyperlink r:id="rId38" ref="T11"/>
    <hyperlink r:id="rId39" ref="AZ11"/>
    <hyperlink r:id="rId40" ref="BE11"/>
    <hyperlink r:id="rId41" ref="E12"/>
    <hyperlink r:id="rId42" ref="R12"/>
    <hyperlink r:id="rId43" ref="T12"/>
    <hyperlink r:id="rId44" ref="AZ12"/>
    <hyperlink r:id="rId45" ref="BE12"/>
    <hyperlink r:id="rId46" ref="E13"/>
    <hyperlink r:id="rId47" ref="R13"/>
    <hyperlink r:id="rId48" ref="T13"/>
    <hyperlink r:id="rId49" ref="AZ13"/>
    <hyperlink r:id="rId50" ref="BE13"/>
    <hyperlink r:id="rId51" ref="E14"/>
    <hyperlink r:id="rId52" ref="R14"/>
    <hyperlink r:id="rId53" ref="T14"/>
    <hyperlink r:id="rId54" ref="AZ14"/>
    <hyperlink r:id="rId55" ref="BE14"/>
    <hyperlink r:id="rId56" ref="E15"/>
    <hyperlink r:id="rId57" ref="R15"/>
    <hyperlink r:id="rId58" ref="T15"/>
    <hyperlink r:id="rId59" ref="AZ15"/>
    <hyperlink r:id="rId60" ref="BE15"/>
    <hyperlink r:id="rId61" ref="E16"/>
    <hyperlink r:id="rId62" ref="R16"/>
    <hyperlink r:id="rId63" ref="T16"/>
    <hyperlink r:id="rId64" ref="AZ16"/>
    <hyperlink r:id="rId65" ref="BE16"/>
    <hyperlink r:id="rId66" ref="E17"/>
    <hyperlink r:id="rId67" ref="R17"/>
    <hyperlink r:id="rId68" ref="T17"/>
    <hyperlink r:id="rId69" ref="AZ17"/>
    <hyperlink r:id="rId70" ref="BE17"/>
    <hyperlink r:id="rId71" ref="E18"/>
    <hyperlink r:id="rId72" ref="R18"/>
    <hyperlink r:id="rId73" ref="T18"/>
    <hyperlink r:id="rId74" ref="AZ18"/>
    <hyperlink r:id="rId75" ref="BE18"/>
    <hyperlink r:id="rId76" ref="E19"/>
    <hyperlink r:id="rId77" ref="R19"/>
    <hyperlink r:id="rId78" ref="T19"/>
    <hyperlink r:id="rId79" ref="AZ19"/>
    <hyperlink r:id="rId80" ref="BE19"/>
  </hyperlinks>
  <printOptions/>
  <pageMargins bottom="0.75" footer="0.0" header="0.0" left="0.7" right="0.7" top="0.75"/>
  <pageSetup orientation="landscape"/>
  <drawing r:id="rId8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12.88"/>
    <col customWidth="1" min="3" max="3" width="12.0"/>
    <col customWidth="1" min="4" max="5" width="14.25"/>
    <col customWidth="1" min="6" max="6" width="17.0"/>
    <col customWidth="1" min="7" max="7" width="23.88"/>
    <col customWidth="1" min="8" max="8" width="17.38"/>
    <col customWidth="1" min="9" max="9" width="19.38"/>
    <col customWidth="1" min="10" max="11" width="17.0"/>
    <col customWidth="1" min="12" max="12" width="20.75"/>
    <col customWidth="1" min="13" max="13" width="13.5"/>
    <col customWidth="1" min="14" max="15" width="13.13"/>
    <col customWidth="1" min="16" max="16" width="17.0"/>
    <col customWidth="1" min="17" max="17" width="14.38"/>
    <col customWidth="1" min="18" max="25" width="8.63"/>
    <col customWidth="1" min="26" max="26" width="10.0"/>
    <col customWidth="1" min="27" max="27" width="13.25"/>
    <col customWidth="1" min="28" max="29" width="10.38"/>
    <col customWidth="1" min="30" max="30" width="17.38"/>
    <col customWidth="1" min="31" max="31" width="10.38"/>
    <col customWidth="1" min="32" max="32" width="13.13"/>
    <col customWidth="1" min="33" max="34" width="10.38"/>
    <col customWidth="1" min="35" max="37" width="14.5"/>
    <col customWidth="1" hidden="1" min="38" max="38" width="11.38"/>
    <col customWidth="1" hidden="1" min="39" max="39" width="10.13"/>
    <col customWidth="1" hidden="1" min="40" max="40" width="9.13"/>
    <col customWidth="1" hidden="1" min="41" max="42" width="14.38"/>
    <col customWidth="1" hidden="1" min="43" max="50" width="14.25"/>
    <col customWidth="1" min="51" max="51" width="14.25"/>
    <col customWidth="1" min="52" max="52" width="9.13"/>
    <col customWidth="1" min="53" max="53" width="9.75"/>
    <col customWidth="1" min="54" max="56" width="14.63"/>
    <col customWidth="1" min="57" max="57" width="14.38"/>
    <col customWidth="1" min="58" max="58" width="10.0"/>
    <col customWidth="1" min="59" max="60" width="10.13"/>
    <col customWidth="1" min="61" max="61" width="9.25"/>
    <col customWidth="1" min="62" max="62" width="8.63"/>
    <col customWidth="1" min="63" max="65" width="11.0"/>
    <col customWidth="1" min="66" max="66" width="11.88"/>
    <col customWidth="1" min="67" max="68" width="10.63"/>
    <col customWidth="1" min="69" max="69" width="12.75"/>
    <col customWidth="1" min="70" max="70" width="11.38"/>
    <col customWidth="1" min="71" max="71" width="14.88"/>
    <col customWidth="1" min="72" max="72" width="15.0"/>
    <col customWidth="1" min="73" max="73" width="15.25"/>
    <col customWidth="1" min="74" max="74" width="18.25"/>
    <col customWidth="1" min="75" max="75" width="15.25"/>
    <col customWidth="1" min="76" max="76" width="10.88"/>
    <col customWidth="1" min="77" max="83" width="10.0"/>
    <col customWidth="1" min="84" max="85" width="10.63"/>
    <col customWidth="1" min="86" max="86" width="10.88"/>
  </cols>
  <sheetData>
    <row r="1" ht="54.0" customHeight="1">
      <c r="A1" s="1" t="s">
        <v>0</v>
      </c>
      <c r="B1" s="35" t="s">
        <v>84</v>
      </c>
      <c r="C1" s="35" t="s">
        <v>85</v>
      </c>
      <c r="D1" s="2" t="s">
        <v>20</v>
      </c>
      <c r="E1" s="3" t="s">
        <v>3</v>
      </c>
      <c r="F1" s="4" t="s">
        <v>4</v>
      </c>
      <c r="G1" s="4" t="s">
        <v>88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  <c r="M1" s="4" t="s">
        <v>10</v>
      </c>
      <c r="N1" s="4" t="s">
        <v>89</v>
      </c>
      <c r="O1" s="4" t="s">
        <v>90</v>
      </c>
      <c r="P1" s="4" t="s">
        <v>11</v>
      </c>
      <c r="Q1" s="4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14</v>
      </c>
      <c r="W1" s="2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2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2" t="s">
        <v>91</v>
      </c>
      <c r="AM1" s="2" t="s">
        <v>92</v>
      </c>
      <c r="AN1" s="2" t="s">
        <v>93</v>
      </c>
      <c r="AO1" s="2" t="s">
        <v>94</v>
      </c>
      <c r="AP1" s="2" t="s">
        <v>95</v>
      </c>
      <c r="AQ1" s="2" t="s">
        <v>96</v>
      </c>
      <c r="AR1" s="2" t="s">
        <v>97</v>
      </c>
      <c r="AS1" s="2" t="s">
        <v>98</v>
      </c>
      <c r="AT1" s="2" t="s">
        <v>99</v>
      </c>
      <c r="AU1" s="2" t="s">
        <v>100</v>
      </c>
      <c r="AV1" s="2" t="s">
        <v>29</v>
      </c>
      <c r="AW1" s="2" t="s">
        <v>30</v>
      </c>
      <c r="AX1" s="2" t="s">
        <v>31</v>
      </c>
      <c r="AY1" s="4" t="s">
        <v>101</v>
      </c>
      <c r="AZ1" s="4" t="s">
        <v>102</v>
      </c>
      <c r="BA1" s="4" t="s">
        <v>103</v>
      </c>
      <c r="BB1" s="36" t="s">
        <v>104</v>
      </c>
      <c r="BC1" s="37" t="s">
        <v>30</v>
      </c>
      <c r="BD1" s="37" t="s">
        <v>31</v>
      </c>
      <c r="BE1" s="3" t="s">
        <v>3</v>
      </c>
      <c r="BF1" s="6" t="s">
        <v>32</v>
      </c>
      <c r="BG1" s="38" t="s">
        <v>33</v>
      </c>
      <c r="BH1" s="38" t="s">
        <v>105</v>
      </c>
      <c r="BI1" s="8" t="s">
        <v>34</v>
      </c>
      <c r="BJ1" s="9" t="s">
        <v>35</v>
      </c>
      <c r="BK1" s="9" t="s">
        <v>36</v>
      </c>
      <c r="BL1" s="9" t="s">
        <v>37</v>
      </c>
      <c r="BM1" s="9" t="s">
        <v>38</v>
      </c>
      <c r="BN1" s="9" t="s">
        <v>39</v>
      </c>
      <c r="BO1" s="9" t="s">
        <v>40</v>
      </c>
      <c r="BP1" s="9" t="s">
        <v>41</v>
      </c>
      <c r="BQ1" s="9" t="s">
        <v>42</v>
      </c>
      <c r="BR1" s="9" t="s">
        <v>43</v>
      </c>
      <c r="BS1" s="10" t="s">
        <v>223</v>
      </c>
      <c r="BT1" s="10" t="s">
        <v>224</v>
      </c>
      <c r="BU1" s="10" t="s">
        <v>46</v>
      </c>
      <c r="BV1" s="10" t="s">
        <v>47</v>
      </c>
      <c r="BW1" s="10" t="s">
        <v>48</v>
      </c>
      <c r="BX1" s="10" t="s">
        <v>225</v>
      </c>
      <c r="BY1" s="10" t="s">
        <v>226</v>
      </c>
      <c r="BZ1" s="10" t="s">
        <v>51</v>
      </c>
      <c r="CA1" s="10" t="s">
        <v>247</v>
      </c>
      <c r="CB1" s="10" t="s">
        <v>108</v>
      </c>
      <c r="CC1" s="10" t="s">
        <v>54</v>
      </c>
      <c r="CD1" s="10" t="s">
        <v>227</v>
      </c>
      <c r="CE1" s="10" t="s">
        <v>110</v>
      </c>
      <c r="CF1" s="10" t="s">
        <v>111</v>
      </c>
      <c r="CG1" s="10" t="s">
        <v>112</v>
      </c>
      <c r="CH1" s="10" t="s">
        <v>58</v>
      </c>
    </row>
    <row r="2" ht="14.25" customHeight="1">
      <c r="A2" s="11" t="s">
        <v>113</v>
      </c>
      <c r="B2" s="13"/>
      <c r="C2" s="13"/>
      <c r="D2" s="21">
        <v>0.0</v>
      </c>
      <c r="E2" s="235" t="s">
        <v>280</v>
      </c>
      <c r="F2" s="5" t="s">
        <v>114</v>
      </c>
      <c r="G2" s="13" t="s">
        <v>115</v>
      </c>
      <c r="H2" s="11" t="s">
        <v>281</v>
      </c>
      <c r="I2" s="13" t="s">
        <v>62</v>
      </c>
      <c r="J2" s="13" t="s">
        <v>63</v>
      </c>
      <c r="K2" s="15">
        <v>8000.0</v>
      </c>
      <c r="L2" s="5" t="s">
        <v>116</v>
      </c>
      <c r="M2" s="43" t="s">
        <v>69</v>
      </c>
      <c r="N2" s="19">
        <v>100.0</v>
      </c>
      <c r="O2" s="44" t="s">
        <v>69</v>
      </c>
      <c r="P2" s="16" t="s">
        <v>66</v>
      </c>
      <c r="Q2" s="17">
        <v>2.01</v>
      </c>
      <c r="R2" s="18" t="s">
        <v>67</v>
      </c>
      <c r="S2" s="19">
        <v>2024.0</v>
      </c>
      <c r="T2" s="20" t="s">
        <v>68</v>
      </c>
      <c r="U2" s="19">
        <v>100.0</v>
      </c>
      <c r="V2" s="19">
        <v>2024.0</v>
      </c>
      <c r="W2" s="19">
        <v>83.07</v>
      </c>
      <c r="X2" s="5">
        <v>25.0</v>
      </c>
      <c r="Y2" s="19">
        <v>2.5</v>
      </c>
      <c r="Z2" s="21">
        <v>0.0</v>
      </c>
      <c r="AA2" s="19">
        <v>7.8</v>
      </c>
      <c r="AB2" s="22">
        <v>0.0</v>
      </c>
      <c r="AC2" s="23" t="s">
        <v>69</v>
      </c>
      <c r="AD2" s="24" t="s">
        <v>70</v>
      </c>
      <c r="AE2" s="47" t="s">
        <v>69</v>
      </c>
      <c r="AF2" s="22" t="s">
        <v>71</v>
      </c>
      <c r="AG2" s="22">
        <v>335.4</v>
      </c>
      <c r="AH2" s="22">
        <v>10.7</v>
      </c>
      <c r="AI2" s="22">
        <v>0.0</v>
      </c>
      <c r="AJ2" s="26" t="s">
        <v>72</v>
      </c>
      <c r="AK2" s="27">
        <v>0.0</v>
      </c>
      <c r="AL2" s="23" t="s">
        <v>69</v>
      </c>
      <c r="AM2" s="23" t="s">
        <v>69</v>
      </c>
      <c r="AN2" s="23" t="s">
        <v>69</v>
      </c>
      <c r="AO2" s="23" t="s">
        <v>69</v>
      </c>
      <c r="AP2" s="23" t="s">
        <v>69</v>
      </c>
      <c r="AQ2" s="23" t="s">
        <v>69</v>
      </c>
      <c r="AR2" s="23" t="s">
        <v>69</v>
      </c>
      <c r="AS2" s="23" t="s">
        <v>69</v>
      </c>
      <c r="AT2" s="23" t="s">
        <v>69</v>
      </c>
      <c r="AU2" s="23" t="s">
        <v>69</v>
      </c>
      <c r="AV2" s="23" t="s">
        <v>69</v>
      </c>
      <c r="AW2" s="23" t="s">
        <v>69</v>
      </c>
      <c r="AX2" s="23" t="s">
        <v>69</v>
      </c>
      <c r="AY2" s="47">
        <v>0.0</v>
      </c>
      <c r="AZ2" s="48" t="s">
        <v>118</v>
      </c>
      <c r="BA2" s="49">
        <v>1.0</v>
      </c>
      <c r="BB2" s="50">
        <v>10.0</v>
      </c>
      <c r="BC2" s="51" t="s">
        <v>72</v>
      </c>
      <c r="BD2" s="52">
        <v>0.0</v>
      </c>
      <c r="BE2" s="235" t="s">
        <v>280</v>
      </c>
      <c r="BF2" s="133" t="s">
        <v>69</v>
      </c>
      <c r="BG2" s="134">
        <v>35.0</v>
      </c>
      <c r="BH2" s="184" t="s">
        <v>69</v>
      </c>
      <c r="BI2" s="144">
        <v>243117.0</v>
      </c>
      <c r="BJ2" s="137" t="s">
        <v>69</v>
      </c>
      <c r="BK2" s="137" t="s">
        <v>69</v>
      </c>
      <c r="BL2" s="137" t="s">
        <v>69</v>
      </c>
      <c r="BM2" s="137" t="s">
        <v>69</v>
      </c>
      <c r="BN2" s="137" t="s">
        <v>69</v>
      </c>
      <c r="BO2" s="137" t="s">
        <v>69</v>
      </c>
      <c r="BP2" s="137" t="s">
        <v>69</v>
      </c>
      <c r="BQ2" s="137" t="s">
        <v>69</v>
      </c>
      <c r="BR2" s="137" t="s">
        <v>69</v>
      </c>
      <c r="BS2" s="185"/>
      <c r="BT2" s="186"/>
      <c r="BU2" s="186"/>
      <c r="BV2" s="187"/>
      <c r="BW2" s="188"/>
      <c r="BX2" s="189"/>
      <c r="BY2" s="189"/>
      <c r="BZ2" s="189"/>
      <c r="CA2" s="189"/>
      <c r="CB2" s="189"/>
      <c r="CC2" s="189"/>
      <c r="CD2" s="189"/>
      <c r="CE2" s="189">
        <v>438012.0</v>
      </c>
      <c r="CF2" s="189"/>
      <c r="CG2" s="189"/>
      <c r="CH2" s="190"/>
    </row>
    <row r="3" ht="14.25" customHeight="1">
      <c r="A3" s="11" t="s">
        <v>113</v>
      </c>
      <c r="B3" s="13"/>
      <c r="C3" s="13"/>
      <c r="D3" s="21">
        <v>2.0</v>
      </c>
      <c r="E3" s="235" t="s">
        <v>282</v>
      </c>
      <c r="F3" s="5" t="s">
        <v>114</v>
      </c>
      <c r="G3" s="13" t="s">
        <v>115</v>
      </c>
      <c r="H3" s="11" t="s">
        <v>282</v>
      </c>
      <c r="I3" s="13" t="s">
        <v>62</v>
      </c>
      <c r="J3" s="13" t="s">
        <v>63</v>
      </c>
      <c r="K3" s="15">
        <v>8000.0</v>
      </c>
      <c r="L3" s="5" t="s">
        <v>116</v>
      </c>
      <c r="M3" s="43" t="s">
        <v>69</v>
      </c>
      <c r="N3" s="19">
        <v>100.0</v>
      </c>
      <c r="O3" s="44" t="s">
        <v>69</v>
      </c>
      <c r="P3" s="16" t="s">
        <v>66</v>
      </c>
      <c r="Q3" s="17">
        <v>2.01</v>
      </c>
      <c r="R3" s="18" t="s">
        <v>67</v>
      </c>
      <c r="S3" s="19">
        <v>2024.0</v>
      </c>
      <c r="T3" s="20" t="s">
        <v>68</v>
      </c>
      <c r="U3" s="19">
        <v>100.0</v>
      </c>
      <c r="V3" s="19">
        <v>2024.0</v>
      </c>
      <c r="W3" s="19">
        <v>83.07</v>
      </c>
      <c r="X3" s="5">
        <v>25.0</v>
      </c>
      <c r="Y3" s="19">
        <v>2.5</v>
      </c>
      <c r="Z3" s="21">
        <v>2.0</v>
      </c>
      <c r="AA3" s="19">
        <v>7.8</v>
      </c>
      <c r="AB3" s="22">
        <v>0.0</v>
      </c>
      <c r="AC3" s="23" t="s">
        <v>69</v>
      </c>
      <c r="AD3" s="24" t="s">
        <v>70</v>
      </c>
      <c r="AE3" s="47" t="s">
        <v>69</v>
      </c>
      <c r="AF3" s="22" t="s">
        <v>71</v>
      </c>
      <c r="AG3" s="22">
        <v>335.4</v>
      </c>
      <c r="AH3" s="22">
        <v>10.7</v>
      </c>
      <c r="AI3" s="22">
        <v>0.0</v>
      </c>
      <c r="AJ3" s="26" t="s">
        <v>72</v>
      </c>
      <c r="AK3" s="27">
        <v>0.0</v>
      </c>
      <c r="AL3" s="23" t="s">
        <v>69</v>
      </c>
      <c r="AM3" s="23" t="s">
        <v>69</v>
      </c>
      <c r="AN3" s="23" t="s">
        <v>69</v>
      </c>
      <c r="AO3" s="23" t="s">
        <v>69</v>
      </c>
      <c r="AP3" s="23" t="s">
        <v>69</v>
      </c>
      <c r="AQ3" s="23" t="s">
        <v>69</v>
      </c>
      <c r="AR3" s="23" t="s">
        <v>69</v>
      </c>
      <c r="AS3" s="23" t="s">
        <v>69</v>
      </c>
      <c r="AT3" s="23" t="s">
        <v>69</v>
      </c>
      <c r="AU3" s="23" t="s">
        <v>69</v>
      </c>
      <c r="AV3" s="23" t="s">
        <v>69</v>
      </c>
      <c r="AW3" s="23" t="s">
        <v>69</v>
      </c>
      <c r="AX3" s="23" t="s">
        <v>69</v>
      </c>
      <c r="AY3" s="47">
        <v>0.0</v>
      </c>
      <c r="AZ3" s="48" t="s">
        <v>118</v>
      </c>
      <c r="BA3" s="49">
        <v>1.0</v>
      </c>
      <c r="BB3" s="50">
        <v>10.0</v>
      </c>
      <c r="BC3" s="51" t="s">
        <v>72</v>
      </c>
      <c r="BD3" s="52">
        <v>0.0</v>
      </c>
      <c r="BE3" s="235" t="s">
        <v>282</v>
      </c>
      <c r="BF3" s="133" t="s">
        <v>69</v>
      </c>
      <c r="BG3" s="134">
        <v>35.0</v>
      </c>
      <c r="BH3" s="184" t="s">
        <v>69</v>
      </c>
      <c r="BI3" s="144">
        <v>165443.0</v>
      </c>
      <c r="BJ3" s="137" t="s">
        <v>69</v>
      </c>
      <c r="BK3" s="137" t="s">
        <v>69</v>
      </c>
      <c r="BL3" s="137" t="s">
        <v>69</v>
      </c>
      <c r="BM3" s="137" t="s">
        <v>69</v>
      </c>
      <c r="BN3" s="137" t="s">
        <v>69</v>
      </c>
      <c r="BO3" s="137" t="s">
        <v>69</v>
      </c>
      <c r="BP3" s="137" t="s">
        <v>69</v>
      </c>
      <c r="BQ3" s="137" t="s">
        <v>69</v>
      </c>
      <c r="BR3" s="137" t="s">
        <v>69</v>
      </c>
      <c r="BS3" s="185"/>
      <c r="BT3" s="186"/>
      <c r="BU3" s="186"/>
      <c r="BV3" s="187"/>
      <c r="BW3" s="188"/>
      <c r="BX3" s="189"/>
      <c r="BY3" s="189"/>
      <c r="BZ3" s="189"/>
      <c r="CA3" s="189"/>
      <c r="CB3" s="189"/>
      <c r="CC3" s="189"/>
      <c r="CD3" s="189"/>
      <c r="CE3" s="189">
        <v>558078.0</v>
      </c>
      <c r="CF3" s="189"/>
      <c r="CG3" s="189"/>
      <c r="CH3" s="190"/>
    </row>
    <row r="4" ht="14.25" customHeight="1">
      <c r="A4" s="11" t="s">
        <v>113</v>
      </c>
      <c r="B4" s="13"/>
      <c r="C4" s="13"/>
      <c r="D4" s="21">
        <v>4.0</v>
      </c>
      <c r="E4" s="235" t="s">
        <v>283</v>
      </c>
      <c r="F4" s="5" t="s">
        <v>114</v>
      </c>
      <c r="G4" s="13" t="s">
        <v>115</v>
      </c>
      <c r="H4" s="11" t="s">
        <v>283</v>
      </c>
      <c r="I4" s="13" t="s">
        <v>62</v>
      </c>
      <c r="J4" s="13" t="s">
        <v>63</v>
      </c>
      <c r="K4" s="15">
        <v>8000.0</v>
      </c>
      <c r="L4" s="5" t="s">
        <v>116</v>
      </c>
      <c r="M4" s="43" t="s">
        <v>69</v>
      </c>
      <c r="N4" s="19">
        <v>100.0</v>
      </c>
      <c r="O4" s="44" t="s">
        <v>69</v>
      </c>
      <c r="P4" s="16" t="s">
        <v>66</v>
      </c>
      <c r="Q4" s="17">
        <v>2.01</v>
      </c>
      <c r="R4" s="18" t="s">
        <v>67</v>
      </c>
      <c r="S4" s="19">
        <v>2024.0</v>
      </c>
      <c r="T4" s="20" t="s">
        <v>68</v>
      </c>
      <c r="U4" s="19">
        <v>100.0</v>
      </c>
      <c r="V4" s="19">
        <v>2024.0</v>
      </c>
      <c r="W4" s="19">
        <v>83.07</v>
      </c>
      <c r="X4" s="5">
        <v>25.0</v>
      </c>
      <c r="Y4" s="19">
        <v>2.5</v>
      </c>
      <c r="Z4" s="21">
        <v>4.0</v>
      </c>
      <c r="AA4" s="19">
        <v>7.8</v>
      </c>
      <c r="AB4" s="22">
        <v>0.0</v>
      </c>
      <c r="AC4" s="23" t="s">
        <v>69</v>
      </c>
      <c r="AD4" s="24" t="s">
        <v>70</v>
      </c>
      <c r="AE4" s="47" t="s">
        <v>69</v>
      </c>
      <c r="AF4" s="22" t="s">
        <v>71</v>
      </c>
      <c r="AG4" s="22">
        <v>335.4</v>
      </c>
      <c r="AH4" s="22">
        <v>10.7</v>
      </c>
      <c r="AI4" s="22">
        <v>0.0</v>
      </c>
      <c r="AJ4" s="26" t="s">
        <v>72</v>
      </c>
      <c r="AK4" s="27">
        <v>0.0</v>
      </c>
      <c r="AL4" s="23" t="s">
        <v>69</v>
      </c>
      <c r="AM4" s="23" t="s">
        <v>69</v>
      </c>
      <c r="AN4" s="23" t="s">
        <v>69</v>
      </c>
      <c r="AO4" s="23" t="s">
        <v>69</v>
      </c>
      <c r="AP4" s="23" t="s">
        <v>69</v>
      </c>
      <c r="AQ4" s="23" t="s">
        <v>69</v>
      </c>
      <c r="AR4" s="23" t="s">
        <v>69</v>
      </c>
      <c r="AS4" s="23" t="s">
        <v>69</v>
      </c>
      <c r="AT4" s="23" t="s">
        <v>69</v>
      </c>
      <c r="AU4" s="23" t="s">
        <v>69</v>
      </c>
      <c r="AV4" s="23" t="s">
        <v>69</v>
      </c>
      <c r="AW4" s="23" t="s">
        <v>69</v>
      </c>
      <c r="AX4" s="23" t="s">
        <v>69</v>
      </c>
      <c r="AY4" s="47">
        <v>0.0</v>
      </c>
      <c r="AZ4" s="48" t="s">
        <v>118</v>
      </c>
      <c r="BA4" s="49">
        <v>1.0</v>
      </c>
      <c r="BB4" s="50">
        <v>10.0</v>
      </c>
      <c r="BC4" s="51" t="s">
        <v>72</v>
      </c>
      <c r="BD4" s="52">
        <v>0.0</v>
      </c>
      <c r="BE4" s="235" t="s">
        <v>283</v>
      </c>
      <c r="BF4" s="133" t="s">
        <v>69</v>
      </c>
      <c r="BG4" s="134">
        <v>35.0</v>
      </c>
      <c r="BH4" s="184" t="s">
        <v>69</v>
      </c>
      <c r="BI4" s="144">
        <v>59505.0</v>
      </c>
      <c r="BJ4" s="137" t="s">
        <v>69</v>
      </c>
      <c r="BK4" s="137" t="s">
        <v>69</v>
      </c>
      <c r="BL4" s="137" t="s">
        <v>69</v>
      </c>
      <c r="BM4" s="137" t="s">
        <v>69</v>
      </c>
      <c r="BN4" s="137" t="s">
        <v>69</v>
      </c>
      <c r="BO4" s="137" t="s">
        <v>69</v>
      </c>
      <c r="BP4" s="137" t="s">
        <v>69</v>
      </c>
      <c r="BQ4" s="137" t="s">
        <v>69</v>
      </c>
      <c r="BR4" s="137" t="s">
        <v>69</v>
      </c>
      <c r="BS4" s="185"/>
      <c r="BT4" s="186"/>
      <c r="BU4" s="186"/>
      <c r="BV4" s="187"/>
      <c r="BW4" s="188"/>
      <c r="BX4" s="189"/>
      <c r="BY4" s="189"/>
      <c r="BZ4" s="189"/>
      <c r="CA4" s="189"/>
      <c r="CB4" s="189"/>
      <c r="CC4" s="189"/>
      <c r="CD4" s="189"/>
      <c r="CE4" s="189">
        <v>721833.0</v>
      </c>
      <c r="CF4" s="189"/>
      <c r="CG4" s="189"/>
      <c r="CH4" s="190"/>
    </row>
    <row r="5" ht="14.25" customHeight="1">
      <c r="A5" s="11" t="s">
        <v>113</v>
      </c>
      <c r="B5" s="13"/>
      <c r="C5" s="13"/>
      <c r="D5" s="21">
        <v>6.0</v>
      </c>
      <c r="E5" s="235" t="s">
        <v>284</v>
      </c>
      <c r="F5" s="5" t="s">
        <v>114</v>
      </c>
      <c r="G5" s="13" t="s">
        <v>115</v>
      </c>
      <c r="H5" s="11" t="s">
        <v>284</v>
      </c>
      <c r="I5" s="13" t="s">
        <v>62</v>
      </c>
      <c r="J5" s="13" t="s">
        <v>63</v>
      </c>
      <c r="K5" s="15">
        <v>8000.0</v>
      </c>
      <c r="L5" s="5" t="s">
        <v>116</v>
      </c>
      <c r="M5" s="43" t="s">
        <v>69</v>
      </c>
      <c r="N5" s="19">
        <v>100.0</v>
      </c>
      <c r="O5" s="44" t="s">
        <v>69</v>
      </c>
      <c r="P5" s="16" t="s">
        <v>66</v>
      </c>
      <c r="Q5" s="17">
        <v>2.01</v>
      </c>
      <c r="R5" s="18" t="s">
        <v>67</v>
      </c>
      <c r="S5" s="19">
        <v>2024.0</v>
      </c>
      <c r="T5" s="20" t="s">
        <v>68</v>
      </c>
      <c r="U5" s="19">
        <v>100.0</v>
      </c>
      <c r="V5" s="19">
        <v>2024.0</v>
      </c>
      <c r="W5" s="19">
        <v>83.07</v>
      </c>
      <c r="X5" s="5">
        <v>25.0</v>
      </c>
      <c r="Y5" s="19">
        <v>2.5</v>
      </c>
      <c r="Z5" s="21">
        <v>6.0</v>
      </c>
      <c r="AA5" s="19">
        <v>7.8</v>
      </c>
      <c r="AB5" s="22">
        <v>0.0</v>
      </c>
      <c r="AC5" s="23" t="s">
        <v>69</v>
      </c>
      <c r="AD5" s="24" t="s">
        <v>70</v>
      </c>
      <c r="AE5" s="47" t="s">
        <v>69</v>
      </c>
      <c r="AF5" s="22" t="s">
        <v>71</v>
      </c>
      <c r="AG5" s="22">
        <v>335.4</v>
      </c>
      <c r="AH5" s="22">
        <v>10.7</v>
      </c>
      <c r="AI5" s="22">
        <v>0.0</v>
      </c>
      <c r="AJ5" s="26" t="s">
        <v>72</v>
      </c>
      <c r="AK5" s="27">
        <v>0.0</v>
      </c>
      <c r="AL5" s="23" t="s">
        <v>69</v>
      </c>
      <c r="AM5" s="23" t="s">
        <v>69</v>
      </c>
      <c r="AN5" s="23" t="s">
        <v>69</v>
      </c>
      <c r="AO5" s="23" t="s">
        <v>69</v>
      </c>
      <c r="AP5" s="23" t="s">
        <v>69</v>
      </c>
      <c r="AQ5" s="23" t="s">
        <v>69</v>
      </c>
      <c r="AR5" s="23" t="s">
        <v>69</v>
      </c>
      <c r="AS5" s="23" t="s">
        <v>69</v>
      </c>
      <c r="AT5" s="23" t="s">
        <v>69</v>
      </c>
      <c r="AU5" s="23" t="s">
        <v>69</v>
      </c>
      <c r="AV5" s="23" t="s">
        <v>69</v>
      </c>
      <c r="AW5" s="23" t="s">
        <v>69</v>
      </c>
      <c r="AX5" s="23" t="s">
        <v>69</v>
      </c>
      <c r="AY5" s="47">
        <v>0.0</v>
      </c>
      <c r="AZ5" s="48" t="s">
        <v>118</v>
      </c>
      <c r="BA5" s="49">
        <v>1.0</v>
      </c>
      <c r="BB5" s="50">
        <v>10.0</v>
      </c>
      <c r="BC5" s="51" t="s">
        <v>72</v>
      </c>
      <c r="BD5" s="52">
        <v>0.0</v>
      </c>
      <c r="BE5" s="235" t="s">
        <v>284</v>
      </c>
      <c r="BF5" s="133" t="s">
        <v>69</v>
      </c>
      <c r="BG5" s="134">
        <v>35.0</v>
      </c>
      <c r="BH5" s="184" t="s">
        <v>69</v>
      </c>
      <c r="BI5" s="144">
        <v>-86028.0</v>
      </c>
      <c r="BJ5" s="137" t="s">
        <v>69</v>
      </c>
      <c r="BK5" s="137" t="s">
        <v>69</v>
      </c>
      <c r="BL5" s="137" t="s">
        <v>69</v>
      </c>
      <c r="BM5" s="137" t="s">
        <v>69</v>
      </c>
      <c r="BN5" s="137" t="s">
        <v>69</v>
      </c>
      <c r="BO5" s="137" t="s">
        <v>69</v>
      </c>
      <c r="BP5" s="137" t="s">
        <v>69</v>
      </c>
      <c r="BQ5" s="137" t="s">
        <v>69</v>
      </c>
      <c r="BR5" s="137" t="s">
        <v>69</v>
      </c>
      <c r="BS5" s="185"/>
      <c r="BT5" s="186"/>
      <c r="BU5" s="186"/>
      <c r="BV5" s="187"/>
      <c r="BW5" s="188"/>
      <c r="BX5" s="189"/>
      <c r="BY5" s="189"/>
      <c r="BZ5" s="189"/>
      <c r="CA5" s="189"/>
      <c r="CB5" s="189"/>
      <c r="CC5" s="189"/>
      <c r="CD5" s="189"/>
      <c r="CE5" s="189">
        <v>946792.0</v>
      </c>
      <c r="CF5" s="189"/>
      <c r="CG5" s="189"/>
      <c r="CH5" s="190"/>
    </row>
    <row r="6" ht="14.25" customHeight="1">
      <c r="A6" s="11" t="s">
        <v>113</v>
      </c>
      <c r="B6" s="13"/>
      <c r="C6" s="13"/>
      <c r="D6" s="21">
        <v>8.0</v>
      </c>
      <c r="E6" s="235" t="s">
        <v>285</v>
      </c>
      <c r="F6" s="5" t="s">
        <v>114</v>
      </c>
      <c r="G6" s="13" t="s">
        <v>115</v>
      </c>
      <c r="H6" s="11" t="s">
        <v>285</v>
      </c>
      <c r="I6" s="13" t="s">
        <v>62</v>
      </c>
      <c r="J6" s="13" t="s">
        <v>63</v>
      </c>
      <c r="K6" s="15">
        <v>8000.0</v>
      </c>
      <c r="L6" s="5" t="s">
        <v>116</v>
      </c>
      <c r="M6" s="43" t="s">
        <v>69</v>
      </c>
      <c r="N6" s="19">
        <v>100.0</v>
      </c>
      <c r="O6" s="44" t="s">
        <v>69</v>
      </c>
      <c r="P6" s="16" t="s">
        <v>66</v>
      </c>
      <c r="Q6" s="17">
        <v>2.01</v>
      </c>
      <c r="R6" s="18" t="s">
        <v>67</v>
      </c>
      <c r="S6" s="19">
        <v>2024.0</v>
      </c>
      <c r="T6" s="20" t="s">
        <v>68</v>
      </c>
      <c r="U6" s="19">
        <v>100.0</v>
      </c>
      <c r="V6" s="19">
        <v>2024.0</v>
      </c>
      <c r="W6" s="19">
        <v>83.07</v>
      </c>
      <c r="X6" s="5">
        <v>25.0</v>
      </c>
      <c r="Y6" s="19">
        <v>2.5</v>
      </c>
      <c r="Z6" s="21">
        <v>8.0</v>
      </c>
      <c r="AA6" s="19">
        <v>7.8</v>
      </c>
      <c r="AB6" s="22">
        <v>0.0</v>
      </c>
      <c r="AC6" s="23" t="s">
        <v>69</v>
      </c>
      <c r="AD6" s="24" t="s">
        <v>70</v>
      </c>
      <c r="AE6" s="47" t="s">
        <v>69</v>
      </c>
      <c r="AF6" s="22" t="s">
        <v>71</v>
      </c>
      <c r="AG6" s="22">
        <v>335.4</v>
      </c>
      <c r="AH6" s="22">
        <v>10.7</v>
      </c>
      <c r="AI6" s="22">
        <v>0.0</v>
      </c>
      <c r="AJ6" s="26" t="s">
        <v>72</v>
      </c>
      <c r="AK6" s="27">
        <v>0.0</v>
      </c>
      <c r="AL6" s="23" t="s">
        <v>69</v>
      </c>
      <c r="AM6" s="23" t="s">
        <v>69</v>
      </c>
      <c r="AN6" s="23" t="s">
        <v>69</v>
      </c>
      <c r="AO6" s="23" t="s">
        <v>69</v>
      </c>
      <c r="AP6" s="23" t="s">
        <v>69</v>
      </c>
      <c r="AQ6" s="23" t="s">
        <v>69</v>
      </c>
      <c r="AR6" s="23" t="s">
        <v>69</v>
      </c>
      <c r="AS6" s="23" t="s">
        <v>69</v>
      </c>
      <c r="AT6" s="23" t="s">
        <v>69</v>
      </c>
      <c r="AU6" s="23" t="s">
        <v>69</v>
      </c>
      <c r="AV6" s="23" t="s">
        <v>69</v>
      </c>
      <c r="AW6" s="23" t="s">
        <v>69</v>
      </c>
      <c r="AX6" s="23" t="s">
        <v>69</v>
      </c>
      <c r="AY6" s="47">
        <v>0.0</v>
      </c>
      <c r="AZ6" s="48" t="s">
        <v>118</v>
      </c>
      <c r="BA6" s="49">
        <v>1.0</v>
      </c>
      <c r="BB6" s="50">
        <v>10.0</v>
      </c>
      <c r="BC6" s="51" t="s">
        <v>72</v>
      </c>
      <c r="BD6" s="52">
        <v>0.0</v>
      </c>
      <c r="BE6" s="235" t="s">
        <v>285</v>
      </c>
      <c r="BF6" s="133" t="s">
        <v>69</v>
      </c>
      <c r="BG6" s="134">
        <v>35.0</v>
      </c>
      <c r="BH6" s="184" t="s">
        <v>69</v>
      </c>
      <c r="BI6" s="144">
        <v>-287117.0</v>
      </c>
      <c r="BJ6" s="137" t="s">
        <v>69</v>
      </c>
      <c r="BK6" s="137" t="s">
        <v>69</v>
      </c>
      <c r="BL6" s="137" t="s">
        <v>69</v>
      </c>
      <c r="BM6" s="137" t="s">
        <v>69</v>
      </c>
      <c r="BN6" s="137" t="s">
        <v>69</v>
      </c>
      <c r="BO6" s="137" t="s">
        <v>69</v>
      </c>
      <c r="BP6" s="137" t="s">
        <v>69</v>
      </c>
      <c r="BQ6" s="137" t="s">
        <v>69</v>
      </c>
      <c r="BR6" s="137" t="s">
        <v>69</v>
      </c>
      <c r="BS6" s="185"/>
      <c r="BT6" s="186"/>
      <c r="BU6" s="186"/>
      <c r="BV6" s="187"/>
      <c r="BW6" s="188"/>
      <c r="BX6" s="189"/>
      <c r="BY6" s="189"/>
      <c r="BZ6" s="189"/>
      <c r="CA6" s="189"/>
      <c r="CB6" s="189"/>
      <c r="CC6" s="189"/>
      <c r="CD6" s="189"/>
      <c r="CE6" s="189">
        <v>1257627.0</v>
      </c>
      <c r="CF6" s="189"/>
      <c r="CG6" s="189"/>
      <c r="CH6" s="190"/>
    </row>
    <row r="7" ht="14.25" customHeight="1">
      <c r="A7" s="11" t="s">
        <v>113</v>
      </c>
      <c r="B7" s="13"/>
      <c r="C7" s="13"/>
      <c r="D7" s="21">
        <v>10.0</v>
      </c>
      <c r="E7" s="235" t="s">
        <v>286</v>
      </c>
      <c r="F7" s="5" t="s">
        <v>114</v>
      </c>
      <c r="G7" s="13" t="s">
        <v>115</v>
      </c>
      <c r="H7" s="11" t="s">
        <v>286</v>
      </c>
      <c r="I7" s="13" t="s">
        <v>62</v>
      </c>
      <c r="J7" s="13" t="s">
        <v>63</v>
      </c>
      <c r="K7" s="15">
        <v>8000.0</v>
      </c>
      <c r="L7" s="5" t="s">
        <v>116</v>
      </c>
      <c r="M7" s="43" t="s">
        <v>69</v>
      </c>
      <c r="N7" s="19">
        <v>100.0</v>
      </c>
      <c r="O7" s="44" t="s">
        <v>69</v>
      </c>
      <c r="P7" s="16" t="s">
        <v>66</v>
      </c>
      <c r="Q7" s="17">
        <v>2.01</v>
      </c>
      <c r="R7" s="18" t="s">
        <v>67</v>
      </c>
      <c r="S7" s="19">
        <v>2024.0</v>
      </c>
      <c r="T7" s="20" t="s">
        <v>68</v>
      </c>
      <c r="U7" s="19">
        <v>100.0</v>
      </c>
      <c r="V7" s="19">
        <v>2024.0</v>
      </c>
      <c r="W7" s="19">
        <v>83.07</v>
      </c>
      <c r="X7" s="5">
        <v>25.0</v>
      </c>
      <c r="Y7" s="19">
        <v>2.5</v>
      </c>
      <c r="Z7" s="21">
        <v>10.0</v>
      </c>
      <c r="AA7" s="19">
        <v>7.8</v>
      </c>
      <c r="AB7" s="22">
        <v>0.0</v>
      </c>
      <c r="AC7" s="23" t="s">
        <v>69</v>
      </c>
      <c r="AD7" s="24" t="s">
        <v>70</v>
      </c>
      <c r="AE7" s="47" t="s">
        <v>69</v>
      </c>
      <c r="AF7" s="22" t="s">
        <v>71</v>
      </c>
      <c r="AG7" s="22">
        <v>335.4</v>
      </c>
      <c r="AH7" s="22">
        <v>10.7</v>
      </c>
      <c r="AI7" s="22">
        <v>0.0</v>
      </c>
      <c r="AJ7" s="26" t="s">
        <v>72</v>
      </c>
      <c r="AK7" s="27">
        <v>0.0</v>
      </c>
      <c r="AL7" s="23" t="s">
        <v>69</v>
      </c>
      <c r="AM7" s="23" t="s">
        <v>69</v>
      </c>
      <c r="AN7" s="23" t="s">
        <v>69</v>
      </c>
      <c r="AO7" s="23" t="s">
        <v>69</v>
      </c>
      <c r="AP7" s="23" t="s">
        <v>69</v>
      </c>
      <c r="AQ7" s="23" t="s">
        <v>69</v>
      </c>
      <c r="AR7" s="23" t="s">
        <v>69</v>
      </c>
      <c r="AS7" s="23" t="s">
        <v>69</v>
      </c>
      <c r="AT7" s="23" t="s">
        <v>69</v>
      </c>
      <c r="AU7" s="23" t="s">
        <v>69</v>
      </c>
      <c r="AV7" s="23" t="s">
        <v>69</v>
      </c>
      <c r="AW7" s="23" t="s">
        <v>69</v>
      </c>
      <c r="AX7" s="23" t="s">
        <v>69</v>
      </c>
      <c r="AY7" s="47">
        <v>0.0</v>
      </c>
      <c r="AZ7" s="48" t="s">
        <v>118</v>
      </c>
      <c r="BA7" s="49">
        <v>1.0</v>
      </c>
      <c r="BB7" s="50">
        <v>10.0</v>
      </c>
      <c r="BC7" s="51" t="s">
        <v>72</v>
      </c>
      <c r="BD7" s="52">
        <v>0.0</v>
      </c>
      <c r="BE7" s="235" t="s">
        <v>286</v>
      </c>
      <c r="BF7" s="236" t="s">
        <v>69</v>
      </c>
      <c r="BG7" s="237">
        <v>35.0</v>
      </c>
      <c r="BH7" s="238" t="s">
        <v>69</v>
      </c>
      <c r="BI7" s="144">
        <v>-566212.0</v>
      </c>
      <c r="BJ7" s="137" t="s">
        <v>69</v>
      </c>
      <c r="BK7" s="137" t="s">
        <v>69</v>
      </c>
      <c r="BL7" s="137" t="s">
        <v>69</v>
      </c>
      <c r="BM7" s="137" t="s">
        <v>69</v>
      </c>
      <c r="BN7" s="137" t="s">
        <v>69</v>
      </c>
      <c r="BO7" s="137" t="s">
        <v>69</v>
      </c>
      <c r="BP7" s="137" t="s">
        <v>69</v>
      </c>
      <c r="BQ7" s="137" t="s">
        <v>69</v>
      </c>
      <c r="BR7" s="137" t="s">
        <v>69</v>
      </c>
      <c r="BS7" s="185"/>
      <c r="BT7" s="186"/>
      <c r="BU7" s="186"/>
      <c r="BV7" s="187"/>
      <c r="BW7" s="188"/>
      <c r="BX7" s="189"/>
      <c r="BY7" s="189"/>
      <c r="BZ7" s="189"/>
      <c r="CA7" s="189"/>
      <c r="CB7" s="189"/>
      <c r="CC7" s="189"/>
      <c r="CD7" s="189"/>
      <c r="CE7" s="189">
        <v>1689043.0</v>
      </c>
      <c r="CF7" s="189"/>
      <c r="CG7" s="189"/>
      <c r="CH7" s="190"/>
    </row>
    <row r="8" ht="14.25" customHeight="1">
      <c r="BC8" s="13"/>
      <c r="BD8" s="13"/>
    </row>
    <row r="9" ht="14.25" customHeight="1">
      <c r="A9" s="11" t="s">
        <v>120</v>
      </c>
      <c r="B9" s="43"/>
      <c r="C9" s="13"/>
      <c r="D9" s="21">
        <v>0.0</v>
      </c>
      <c r="E9" s="20" t="s">
        <v>287</v>
      </c>
      <c r="F9" s="5" t="s">
        <v>121</v>
      </c>
      <c r="G9" s="13" t="s">
        <v>115</v>
      </c>
      <c r="H9" s="11" t="s">
        <v>287</v>
      </c>
      <c r="I9" s="13" t="s">
        <v>62</v>
      </c>
      <c r="J9" s="13" t="s">
        <v>63</v>
      </c>
      <c r="K9" s="15">
        <v>8000.0</v>
      </c>
      <c r="L9" s="5" t="s">
        <v>116</v>
      </c>
      <c r="M9" s="43" t="s">
        <v>84</v>
      </c>
      <c r="N9" s="19">
        <v>100.0</v>
      </c>
      <c r="O9" s="44" t="s">
        <v>69</v>
      </c>
      <c r="P9" s="16" t="s">
        <v>66</v>
      </c>
      <c r="Q9" s="17">
        <v>2.01</v>
      </c>
      <c r="R9" s="18" t="s">
        <v>67</v>
      </c>
      <c r="S9" s="19">
        <v>2024.0</v>
      </c>
      <c r="T9" s="20" t="s">
        <v>68</v>
      </c>
      <c r="U9" s="19">
        <v>100.0</v>
      </c>
      <c r="V9" s="19">
        <v>2024.0</v>
      </c>
      <c r="W9" s="19">
        <v>83.07</v>
      </c>
      <c r="X9" s="5">
        <v>25.0</v>
      </c>
      <c r="Y9" s="19">
        <v>2.5</v>
      </c>
      <c r="Z9" s="21">
        <v>0.0</v>
      </c>
      <c r="AA9" s="19">
        <v>7.8</v>
      </c>
      <c r="AB9" s="22">
        <v>0.0</v>
      </c>
      <c r="AC9" s="23" t="s">
        <v>69</v>
      </c>
      <c r="AD9" s="24" t="s">
        <v>70</v>
      </c>
      <c r="AE9" s="47">
        <v>2220.0</v>
      </c>
      <c r="AF9" s="22" t="s">
        <v>71</v>
      </c>
      <c r="AG9" s="22">
        <v>335.4</v>
      </c>
      <c r="AH9" s="22">
        <v>10.7</v>
      </c>
      <c r="AI9" s="22">
        <v>0.0</v>
      </c>
      <c r="AJ9" s="26" t="s">
        <v>72</v>
      </c>
      <c r="AK9" s="27">
        <v>0.0</v>
      </c>
      <c r="AL9" s="23" t="s">
        <v>69</v>
      </c>
      <c r="AM9" s="23" t="s">
        <v>69</v>
      </c>
      <c r="AN9" s="23" t="s">
        <v>69</v>
      </c>
      <c r="AO9" s="23" t="s">
        <v>69</v>
      </c>
      <c r="AP9" s="23" t="s">
        <v>69</v>
      </c>
      <c r="AQ9" s="23" t="s">
        <v>69</v>
      </c>
      <c r="AR9" s="23" t="s">
        <v>69</v>
      </c>
      <c r="AS9" s="23" t="s">
        <v>69</v>
      </c>
      <c r="AT9" s="23" t="s">
        <v>69</v>
      </c>
      <c r="AU9" s="23" t="s">
        <v>69</v>
      </c>
      <c r="AV9" s="23" t="s">
        <v>69</v>
      </c>
      <c r="AW9" s="23" t="s">
        <v>69</v>
      </c>
      <c r="AX9" s="23" t="s">
        <v>69</v>
      </c>
      <c r="AY9" s="47">
        <v>0.0</v>
      </c>
      <c r="AZ9" s="48" t="s">
        <v>118</v>
      </c>
      <c r="BA9" s="49">
        <v>1.0</v>
      </c>
      <c r="BB9" s="50">
        <v>10.0</v>
      </c>
      <c r="BC9" s="51" t="s">
        <v>72</v>
      </c>
      <c r="BD9" s="52">
        <v>0.0</v>
      </c>
      <c r="BE9" s="20" t="s">
        <v>287</v>
      </c>
      <c r="BF9" s="133">
        <v>0.0</v>
      </c>
      <c r="BG9" s="134">
        <v>35.0</v>
      </c>
      <c r="BH9" s="184" t="s">
        <v>69</v>
      </c>
      <c r="BI9" s="144">
        <v>243117.0</v>
      </c>
      <c r="BJ9" s="137"/>
      <c r="BK9" s="137" t="s">
        <v>69</v>
      </c>
      <c r="BL9" s="137"/>
      <c r="BM9" s="137"/>
      <c r="BN9" s="137"/>
      <c r="BO9" s="137"/>
      <c r="BP9" s="137"/>
      <c r="BQ9" s="137"/>
      <c r="BR9" s="137"/>
      <c r="BS9" s="185"/>
      <c r="BT9" s="186"/>
      <c r="BU9" s="186"/>
      <c r="BV9" s="187"/>
      <c r="BW9" s="188"/>
      <c r="BX9" s="189"/>
      <c r="BY9" s="189"/>
      <c r="BZ9" s="189"/>
      <c r="CA9" s="189"/>
      <c r="CB9" s="189"/>
      <c r="CC9" s="189"/>
      <c r="CD9" s="189"/>
      <c r="CE9" s="189">
        <v>438012.0</v>
      </c>
      <c r="CF9" s="189"/>
      <c r="CG9" s="189"/>
      <c r="CH9" s="190"/>
    </row>
    <row r="10" ht="14.25" customHeight="1">
      <c r="A10" s="11" t="s">
        <v>120</v>
      </c>
      <c r="B10" s="43"/>
      <c r="C10" s="13"/>
      <c r="D10" s="21">
        <v>2.0</v>
      </c>
      <c r="E10" s="168" t="s">
        <v>288</v>
      </c>
      <c r="F10" s="5" t="s">
        <v>121</v>
      </c>
      <c r="G10" s="13" t="s">
        <v>115</v>
      </c>
      <c r="H10" s="11" t="s">
        <v>288</v>
      </c>
      <c r="I10" s="13" t="s">
        <v>62</v>
      </c>
      <c r="J10" s="13" t="s">
        <v>63</v>
      </c>
      <c r="K10" s="15">
        <v>8000.0</v>
      </c>
      <c r="L10" s="5" t="s">
        <v>116</v>
      </c>
      <c r="M10" s="43" t="s">
        <v>84</v>
      </c>
      <c r="N10" s="19">
        <v>100.0</v>
      </c>
      <c r="O10" s="44" t="s">
        <v>69</v>
      </c>
      <c r="P10" s="16" t="s">
        <v>66</v>
      </c>
      <c r="Q10" s="17">
        <v>2.01</v>
      </c>
      <c r="R10" s="18" t="s">
        <v>67</v>
      </c>
      <c r="S10" s="19">
        <v>2024.0</v>
      </c>
      <c r="T10" s="20" t="s">
        <v>68</v>
      </c>
      <c r="U10" s="19">
        <v>100.0</v>
      </c>
      <c r="V10" s="19">
        <v>2024.0</v>
      </c>
      <c r="W10" s="19">
        <v>83.07</v>
      </c>
      <c r="X10" s="5">
        <v>25.0</v>
      </c>
      <c r="Y10" s="19">
        <v>2.5</v>
      </c>
      <c r="Z10" s="21">
        <v>2.0</v>
      </c>
      <c r="AA10" s="19">
        <v>7.8</v>
      </c>
      <c r="AB10" s="22">
        <v>0.0</v>
      </c>
      <c r="AC10" s="23" t="s">
        <v>69</v>
      </c>
      <c r="AD10" s="24" t="s">
        <v>70</v>
      </c>
      <c r="AE10" s="47">
        <v>2220.0</v>
      </c>
      <c r="AF10" s="22" t="s">
        <v>71</v>
      </c>
      <c r="AG10" s="22">
        <v>335.4</v>
      </c>
      <c r="AH10" s="22">
        <v>10.7</v>
      </c>
      <c r="AI10" s="22">
        <v>0.0</v>
      </c>
      <c r="AJ10" s="26" t="s">
        <v>72</v>
      </c>
      <c r="AK10" s="27">
        <v>0.0</v>
      </c>
      <c r="AL10" s="23" t="s">
        <v>69</v>
      </c>
      <c r="AM10" s="23" t="s">
        <v>69</v>
      </c>
      <c r="AN10" s="23" t="s">
        <v>69</v>
      </c>
      <c r="AO10" s="23" t="s">
        <v>69</v>
      </c>
      <c r="AP10" s="23" t="s">
        <v>69</v>
      </c>
      <c r="AQ10" s="23" t="s">
        <v>69</v>
      </c>
      <c r="AR10" s="23" t="s">
        <v>69</v>
      </c>
      <c r="AS10" s="23" t="s">
        <v>69</v>
      </c>
      <c r="AT10" s="23" t="s">
        <v>69</v>
      </c>
      <c r="AU10" s="23" t="s">
        <v>69</v>
      </c>
      <c r="AV10" s="23" t="s">
        <v>69</v>
      </c>
      <c r="AW10" s="23" t="s">
        <v>69</v>
      </c>
      <c r="AX10" s="23" t="s">
        <v>69</v>
      </c>
      <c r="AY10" s="47">
        <v>0.0</v>
      </c>
      <c r="AZ10" s="48" t="s">
        <v>118</v>
      </c>
      <c r="BA10" s="49">
        <v>1.0</v>
      </c>
      <c r="BB10" s="50">
        <v>10.0</v>
      </c>
      <c r="BC10" s="51" t="s">
        <v>72</v>
      </c>
      <c r="BD10" s="52">
        <v>0.0</v>
      </c>
      <c r="BE10" s="168" t="s">
        <v>288</v>
      </c>
      <c r="BF10" s="133">
        <v>37.0</v>
      </c>
      <c r="BG10" s="134">
        <v>35.0</v>
      </c>
      <c r="BH10" s="184" t="s">
        <v>69</v>
      </c>
      <c r="BI10" s="144">
        <v>169396.0</v>
      </c>
      <c r="BJ10" s="137"/>
      <c r="BK10" s="137" t="s">
        <v>69</v>
      </c>
      <c r="BL10" s="137"/>
      <c r="BM10" s="137"/>
      <c r="BN10" s="137"/>
      <c r="BO10" s="137"/>
      <c r="BP10" s="137"/>
      <c r="BQ10" s="137"/>
      <c r="BR10" s="137"/>
      <c r="BS10" s="185"/>
      <c r="BT10" s="186"/>
      <c r="BU10" s="186"/>
      <c r="BV10" s="187"/>
      <c r="BW10" s="188"/>
      <c r="BX10" s="189"/>
      <c r="BY10" s="189"/>
      <c r="BZ10" s="189"/>
      <c r="CA10" s="189"/>
      <c r="CB10" s="189"/>
      <c r="CC10" s="189"/>
      <c r="CD10" s="189"/>
      <c r="CE10" s="189">
        <v>554124.0</v>
      </c>
      <c r="CF10" s="189"/>
      <c r="CG10" s="189"/>
      <c r="CH10" s="190"/>
    </row>
    <row r="11" ht="14.25" customHeight="1">
      <c r="A11" s="11" t="s">
        <v>120</v>
      </c>
      <c r="B11" s="43"/>
      <c r="C11" s="13"/>
      <c r="D11" s="21">
        <v>4.0</v>
      </c>
      <c r="E11" s="168" t="s">
        <v>289</v>
      </c>
      <c r="F11" s="5" t="s">
        <v>121</v>
      </c>
      <c r="G11" s="13" t="s">
        <v>115</v>
      </c>
      <c r="H11" s="11" t="s">
        <v>289</v>
      </c>
      <c r="I11" s="13" t="s">
        <v>62</v>
      </c>
      <c r="J11" s="13" t="s">
        <v>63</v>
      </c>
      <c r="K11" s="15">
        <v>8000.0</v>
      </c>
      <c r="L11" s="5" t="s">
        <v>116</v>
      </c>
      <c r="M11" s="43" t="s">
        <v>84</v>
      </c>
      <c r="N11" s="19">
        <v>100.0</v>
      </c>
      <c r="O11" s="44" t="s">
        <v>69</v>
      </c>
      <c r="P11" s="16" t="s">
        <v>66</v>
      </c>
      <c r="Q11" s="17">
        <v>2.01</v>
      </c>
      <c r="R11" s="18" t="s">
        <v>67</v>
      </c>
      <c r="S11" s="19">
        <v>2024.0</v>
      </c>
      <c r="T11" s="20" t="s">
        <v>68</v>
      </c>
      <c r="U11" s="19">
        <v>100.0</v>
      </c>
      <c r="V11" s="19">
        <v>2024.0</v>
      </c>
      <c r="W11" s="19">
        <v>83.07</v>
      </c>
      <c r="X11" s="5">
        <v>25.0</v>
      </c>
      <c r="Y11" s="19">
        <v>2.5</v>
      </c>
      <c r="Z11" s="21">
        <v>4.0</v>
      </c>
      <c r="AA11" s="19">
        <v>7.8</v>
      </c>
      <c r="AB11" s="22">
        <v>0.0</v>
      </c>
      <c r="AC11" s="23" t="s">
        <v>69</v>
      </c>
      <c r="AD11" s="24" t="s">
        <v>70</v>
      </c>
      <c r="AE11" s="47">
        <v>2220.0</v>
      </c>
      <c r="AF11" s="22" t="s">
        <v>71</v>
      </c>
      <c r="AG11" s="22">
        <v>335.4</v>
      </c>
      <c r="AH11" s="22">
        <v>10.7</v>
      </c>
      <c r="AI11" s="22">
        <v>0.0</v>
      </c>
      <c r="AJ11" s="26" t="s">
        <v>72</v>
      </c>
      <c r="AK11" s="27">
        <v>0.0</v>
      </c>
      <c r="AL11" s="23" t="s">
        <v>69</v>
      </c>
      <c r="AM11" s="23" t="s">
        <v>69</v>
      </c>
      <c r="AN11" s="23" t="s">
        <v>69</v>
      </c>
      <c r="AO11" s="23" t="s">
        <v>69</v>
      </c>
      <c r="AP11" s="23" t="s">
        <v>69</v>
      </c>
      <c r="AQ11" s="23" t="s">
        <v>69</v>
      </c>
      <c r="AR11" s="23" t="s">
        <v>69</v>
      </c>
      <c r="AS11" s="23" t="s">
        <v>69</v>
      </c>
      <c r="AT11" s="23" t="s">
        <v>69</v>
      </c>
      <c r="AU11" s="23" t="s">
        <v>69</v>
      </c>
      <c r="AV11" s="23" t="s">
        <v>69</v>
      </c>
      <c r="AW11" s="23" t="s">
        <v>69</v>
      </c>
      <c r="AX11" s="23" t="s">
        <v>69</v>
      </c>
      <c r="AY11" s="47">
        <v>0.0</v>
      </c>
      <c r="AZ11" s="48" t="s">
        <v>118</v>
      </c>
      <c r="BA11" s="49">
        <v>1.0</v>
      </c>
      <c r="BB11" s="50">
        <v>10.0</v>
      </c>
      <c r="BC11" s="51" t="s">
        <v>72</v>
      </c>
      <c r="BD11" s="52">
        <v>0.0</v>
      </c>
      <c r="BE11" s="168" t="s">
        <v>289</v>
      </c>
      <c r="BF11" s="133">
        <v>80.0</v>
      </c>
      <c r="BG11" s="134">
        <v>35.0</v>
      </c>
      <c r="BH11" s="184" t="s">
        <v>69</v>
      </c>
      <c r="BI11" s="144">
        <v>128419.0</v>
      </c>
      <c r="BJ11" s="137"/>
      <c r="BK11" s="137" t="s">
        <v>69</v>
      </c>
      <c r="BL11" s="137"/>
      <c r="BM11" s="137"/>
      <c r="BN11" s="137"/>
      <c r="BO11" s="137"/>
      <c r="BP11" s="137"/>
      <c r="BQ11" s="137"/>
      <c r="BR11" s="137"/>
      <c r="BS11" s="185"/>
      <c r="BT11" s="186"/>
      <c r="BU11" s="186"/>
      <c r="BV11" s="187"/>
      <c r="BW11" s="188"/>
      <c r="BX11" s="189"/>
      <c r="BY11" s="189"/>
      <c r="BZ11" s="189"/>
      <c r="CA11" s="189"/>
      <c r="CB11" s="189"/>
      <c r="CC11" s="189"/>
      <c r="CD11" s="189"/>
      <c r="CE11" s="189">
        <v>652918.0</v>
      </c>
      <c r="CF11" s="189"/>
      <c r="CG11" s="189"/>
      <c r="CH11" s="190"/>
    </row>
    <row r="12" ht="14.25" customHeight="1">
      <c r="A12" s="11" t="s">
        <v>120</v>
      </c>
      <c r="B12" s="43"/>
      <c r="C12" s="13"/>
      <c r="D12" s="21">
        <v>6.0</v>
      </c>
      <c r="E12" s="168" t="s">
        <v>290</v>
      </c>
      <c r="F12" s="5" t="s">
        <v>121</v>
      </c>
      <c r="G12" s="13" t="s">
        <v>115</v>
      </c>
      <c r="H12" s="11" t="s">
        <v>290</v>
      </c>
      <c r="I12" s="13" t="s">
        <v>62</v>
      </c>
      <c r="J12" s="13" t="s">
        <v>63</v>
      </c>
      <c r="K12" s="15">
        <v>8000.0</v>
      </c>
      <c r="L12" s="5" t="s">
        <v>116</v>
      </c>
      <c r="M12" s="43" t="s">
        <v>84</v>
      </c>
      <c r="N12" s="19">
        <v>100.0</v>
      </c>
      <c r="O12" s="44" t="s">
        <v>69</v>
      </c>
      <c r="P12" s="16" t="s">
        <v>66</v>
      </c>
      <c r="Q12" s="17">
        <v>2.01</v>
      </c>
      <c r="R12" s="18" t="s">
        <v>67</v>
      </c>
      <c r="S12" s="19">
        <v>2024.0</v>
      </c>
      <c r="T12" s="20" t="s">
        <v>68</v>
      </c>
      <c r="U12" s="19">
        <v>100.0</v>
      </c>
      <c r="V12" s="19">
        <v>2024.0</v>
      </c>
      <c r="W12" s="19">
        <v>83.07</v>
      </c>
      <c r="X12" s="5">
        <v>25.0</v>
      </c>
      <c r="Y12" s="19">
        <v>2.5</v>
      </c>
      <c r="Z12" s="21">
        <v>6.0</v>
      </c>
      <c r="AA12" s="19">
        <v>7.8</v>
      </c>
      <c r="AB12" s="22">
        <v>0.0</v>
      </c>
      <c r="AC12" s="23" t="s">
        <v>69</v>
      </c>
      <c r="AD12" s="24" t="s">
        <v>70</v>
      </c>
      <c r="AE12" s="47">
        <v>2220.0</v>
      </c>
      <c r="AF12" s="22" t="s">
        <v>71</v>
      </c>
      <c r="AG12" s="22">
        <v>335.4</v>
      </c>
      <c r="AH12" s="22">
        <v>10.7</v>
      </c>
      <c r="AI12" s="22">
        <v>0.0</v>
      </c>
      <c r="AJ12" s="26" t="s">
        <v>72</v>
      </c>
      <c r="AK12" s="27">
        <v>0.0</v>
      </c>
      <c r="AL12" s="23" t="s">
        <v>69</v>
      </c>
      <c r="AM12" s="23" t="s">
        <v>69</v>
      </c>
      <c r="AN12" s="23" t="s">
        <v>69</v>
      </c>
      <c r="AO12" s="23" t="s">
        <v>69</v>
      </c>
      <c r="AP12" s="23" t="s">
        <v>69</v>
      </c>
      <c r="AQ12" s="23" t="s">
        <v>69</v>
      </c>
      <c r="AR12" s="23" t="s">
        <v>69</v>
      </c>
      <c r="AS12" s="23" t="s">
        <v>69</v>
      </c>
      <c r="AT12" s="23" t="s">
        <v>69</v>
      </c>
      <c r="AU12" s="23" t="s">
        <v>69</v>
      </c>
      <c r="AV12" s="23" t="s">
        <v>69</v>
      </c>
      <c r="AW12" s="23" t="s">
        <v>69</v>
      </c>
      <c r="AX12" s="23" t="s">
        <v>69</v>
      </c>
      <c r="AY12" s="47">
        <v>0.0</v>
      </c>
      <c r="AZ12" s="48" t="s">
        <v>118</v>
      </c>
      <c r="BA12" s="49">
        <v>1.0</v>
      </c>
      <c r="BB12" s="50">
        <v>10.0</v>
      </c>
      <c r="BC12" s="51" t="s">
        <v>72</v>
      </c>
      <c r="BD12" s="52">
        <v>0.0</v>
      </c>
      <c r="BE12" s="168" t="s">
        <v>290</v>
      </c>
      <c r="BF12" s="133">
        <v>80.0</v>
      </c>
      <c r="BG12" s="134">
        <v>35.0</v>
      </c>
      <c r="BH12" s="184" t="s">
        <v>69</v>
      </c>
      <c r="BI12" s="144">
        <v>74069.0</v>
      </c>
      <c r="BJ12" s="137"/>
      <c r="BK12" s="137" t="s">
        <v>69</v>
      </c>
      <c r="BL12" s="137"/>
      <c r="BM12" s="137"/>
      <c r="BN12" s="137"/>
      <c r="BO12" s="137"/>
      <c r="BP12" s="137"/>
      <c r="BQ12" s="137"/>
      <c r="BR12" s="137"/>
      <c r="BS12" s="185"/>
      <c r="BT12" s="186"/>
      <c r="BU12" s="186"/>
      <c r="BV12" s="187"/>
      <c r="BW12" s="188"/>
      <c r="BX12" s="189"/>
      <c r="BY12" s="189"/>
      <c r="BZ12" s="189"/>
      <c r="CA12" s="189"/>
      <c r="CB12" s="189"/>
      <c r="CC12" s="189"/>
      <c r="CD12" s="189"/>
      <c r="CE12" s="189">
        <v>786695.0</v>
      </c>
      <c r="CF12" s="189"/>
      <c r="CG12" s="189"/>
      <c r="CH12" s="190"/>
    </row>
    <row r="13" ht="14.25" customHeight="1">
      <c r="A13" s="11" t="s">
        <v>120</v>
      </c>
      <c r="B13" s="43"/>
      <c r="C13" s="13"/>
      <c r="D13" s="21">
        <v>8.0</v>
      </c>
      <c r="E13" s="168" t="s">
        <v>291</v>
      </c>
      <c r="F13" s="5" t="s">
        <v>121</v>
      </c>
      <c r="G13" s="13" t="s">
        <v>115</v>
      </c>
      <c r="H13" s="11" t="s">
        <v>291</v>
      </c>
      <c r="I13" s="13" t="s">
        <v>62</v>
      </c>
      <c r="J13" s="13" t="s">
        <v>63</v>
      </c>
      <c r="K13" s="15">
        <v>8000.0</v>
      </c>
      <c r="L13" s="5" t="s">
        <v>116</v>
      </c>
      <c r="M13" s="43" t="s">
        <v>84</v>
      </c>
      <c r="N13" s="19">
        <v>100.0</v>
      </c>
      <c r="O13" s="44" t="s">
        <v>69</v>
      </c>
      <c r="P13" s="16" t="s">
        <v>66</v>
      </c>
      <c r="Q13" s="17">
        <v>2.01</v>
      </c>
      <c r="R13" s="18" t="s">
        <v>67</v>
      </c>
      <c r="S13" s="19">
        <v>2024.0</v>
      </c>
      <c r="T13" s="20" t="s">
        <v>68</v>
      </c>
      <c r="U13" s="19">
        <v>100.0</v>
      </c>
      <c r="V13" s="19">
        <v>2024.0</v>
      </c>
      <c r="W13" s="19">
        <v>83.07</v>
      </c>
      <c r="X13" s="5">
        <v>25.0</v>
      </c>
      <c r="Y13" s="19">
        <v>2.5</v>
      </c>
      <c r="Z13" s="21">
        <v>8.0</v>
      </c>
      <c r="AA13" s="19">
        <v>7.8</v>
      </c>
      <c r="AB13" s="22">
        <v>0.0</v>
      </c>
      <c r="AC13" s="23" t="s">
        <v>69</v>
      </c>
      <c r="AD13" s="24" t="s">
        <v>70</v>
      </c>
      <c r="AE13" s="47">
        <v>2220.0</v>
      </c>
      <c r="AF13" s="22" t="s">
        <v>71</v>
      </c>
      <c r="AG13" s="22">
        <v>335.4</v>
      </c>
      <c r="AH13" s="22">
        <v>10.7</v>
      </c>
      <c r="AI13" s="22">
        <v>0.0</v>
      </c>
      <c r="AJ13" s="26" t="s">
        <v>72</v>
      </c>
      <c r="AK13" s="27">
        <v>0.0</v>
      </c>
      <c r="AL13" s="23" t="s">
        <v>69</v>
      </c>
      <c r="AM13" s="23" t="s">
        <v>69</v>
      </c>
      <c r="AN13" s="23" t="s">
        <v>69</v>
      </c>
      <c r="AO13" s="23" t="s">
        <v>69</v>
      </c>
      <c r="AP13" s="23" t="s">
        <v>69</v>
      </c>
      <c r="AQ13" s="23" t="s">
        <v>69</v>
      </c>
      <c r="AR13" s="23" t="s">
        <v>69</v>
      </c>
      <c r="AS13" s="23" t="s">
        <v>69</v>
      </c>
      <c r="AT13" s="23" t="s">
        <v>69</v>
      </c>
      <c r="AU13" s="23" t="s">
        <v>69</v>
      </c>
      <c r="AV13" s="23" t="s">
        <v>69</v>
      </c>
      <c r="AW13" s="23" t="s">
        <v>69</v>
      </c>
      <c r="AX13" s="23" t="s">
        <v>69</v>
      </c>
      <c r="AY13" s="47">
        <v>0.0</v>
      </c>
      <c r="AZ13" s="48" t="s">
        <v>118</v>
      </c>
      <c r="BA13" s="49">
        <v>1.0</v>
      </c>
      <c r="BB13" s="50">
        <v>10.0</v>
      </c>
      <c r="BC13" s="51" t="s">
        <v>72</v>
      </c>
      <c r="BD13" s="52">
        <v>0.0</v>
      </c>
      <c r="BE13" s="168" t="s">
        <v>291</v>
      </c>
      <c r="BF13" s="133">
        <v>80.0</v>
      </c>
      <c r="BG13" s="134">
        <v>35.0</v>
      </c>
      <c r="BH13" s="184" t="s">
        <v>69</v>
      </c>
      <c r="BI13" s="144">
        <v>-1395.0</v>
      </c>
      <c r="BJ13" s="137"/>
      <c r="BK13" s="137" t="s">
        <v>69</v>
      </c>
      <c r="BL13" s="137"/>
      <c r="BM13" s="137"/>
      <c r="BN13" s="137"/>
      <c r="BO13" s="137"/>
      <c r="BP13" s="137"/>
      <c r="BQ13" s="137"/>
      <c r="BR13" s="137"/>
      <c r="BS13" s="185"/>
      <c r="BT13" s="186"/>
      <c r="BU13" s="186"/>
      <c r="BV13" s="187"/>
      <c r="BW13" s="188"/>
      <c r="BX13" s="189"/>
      <c r="BY13" s="189"/>
      <c r="BZ13" s="189"/>
      <c r="CA13" s="189"/>
      <c r="CB13" s="189"/>
      <c r="CC13" s="189"/>
      <c r="CD13" s="189"/>
      <c r="CE13" s="189">
        <v>971906.0</v>
      </c>
      <c r="CF13" s="189"/>
      <c r="CG13" s="189"/>
      <c r="CH13" s="190"/>
    </row>
    <row r="14" ht="14.25" customHeight="1">
      <c r="A14" s="11" t="s">
        <v>120</v>
      </c>
      <c r="B14" s="43"/>
      <c r="C14" s="13"/>
      <c r="D14" s="21">
        <v>10.0</v>
      </c>
      <c r="E14" s="168" t="s">
        <v>292</v>
      </c>
      <c r="F14" s="5" t="s">
        <v>121</v>
      </c>
      <c r="G14" s="13" t="s">
        <v>115</v>
      </c>
      <c r="H14" s="11" t="s">
        <v>292</v>
      </c>
      <c r="I14" s="13" t="s">
        <v>62</v>
      </c>
      <c r="J14" s="13" t="s">
        <v>63</v>
      </c>
      <c r="K14" s="15">
        <v>8000.0</v>
      </c>
      <c r="L14" s="5" t="s">
        <v>116</v>
      </c>
      <c r="M14" s="43" t="s">
        <v>84</v>
      </c>
      <c r="N14" s="19">
        <v>100.0</v>
      </c>
      <c r="O14" s="44" t="s">
        <v>69</v>
      </c>
      <c r="P14" s="16" t="s">
        <v>66</v>
      </c>
      <c r="Q14" s="17">
        <v>2.01</v>
      </c>
      <c r="R14" s="18" t="s">
        <v>67</v>
      </c>
      <c r="S14" s="19">
        <v>2024.0</v>
      </c>
      <c r="T14" s="20" t="s">
        <v>68</v>
      </c>
      <c r="U14" s="19">
        <v>100.0</v>
      </c>
      <c r="V14" s="19">
        <v>2024.0</v>
      </c>
      <c r="W14" s="19">
        <v>83.07</v>
      </c>
      <c r="X14" s="5">
        <v>25.0</v>
      </c>
      <c r="Y14" s="19">
        <v>2.5</v>
      </c>
      <c r="Z14" s="21">
        <v>10.0</v>
      </c>
      <c r="AA14" s="19">
        <v>7.8</v>
      </c>
      <c r="AB14" s="22">
        <v>0.0</v>
      </c>
      <c r="AC14" s="23" t="s">
        <v>69</v>
      </c>
      <c r="AD14" s="24" t="s">
        <v>70</v>
      </c>
      <c r="AE14" s="47">
        <v>2220.0</v>
      </c>
      <c r="AF14" s="22" t="s">
        <v>71</v>
      </c>
      <c r="AG14" s="22">
        <v>335.4</v>
      </c>
      <c r="AH14" s="22">
        <v>10.7</v>
      </c>
      <c r="AI14" s="22">
        <v>0.0</v>
      </c>
      <c r="AJ14" s="26" t="s">
        <v>72</v>
      </c>
      <c r="AK14" s="27">
        <v>0.0</v>
      </c>
      <c r="AL14" s="23" t="s">
        <v>69</v>
      </c>
      <c r="AM14" s="23" t="s">
        <v>69</v>
      </c>
      <c r="AN14" s="23" t="s">
        <v>69</v>
      </c>
      <c r="AO14" s="23" t="s">
        <v>69</v>
      </c>
      <c r="AP14" s="23" t="s">
        <v>69</v>
      </c>
      <c r="AQ14" s="23" t="s">
        <v>69</v>
      </c>
      <c r="AR14" s="23" t="s">
        <v>69</v>
      </c>
      <c r="AS14" s="23" t="s">
        <v>69</v>
      </c>
      <c r="AT14" s="23" t="s">
        <v>69</v>
      </c>
      <c r="AU14" s="23" t="s">
        <v>69</v>
      </c>
      <c r="AV14" s="23" t="s">
        <v>69</v>
      </c>
      <c r="AW14" s="23" t="s">
        <v>69</v>
      </c>
      <c r="AX14" s="23" t="s">
        <v>69</v>
      </c>
      <c r="AY14" s="47">
        <v>0.0</v>
      </c>
      <c r="AZ14" s="48" t="s">
        <v>118</v>
      </c>
      <c r="BA14" s="49">
        <v>1.0</v>
      </c>
      <c r="BB14" s="50">
        <v>10.0</v>
      </c>
      <c r="BC14" s="51" t="s">
        <v>72</v>
      </c>
      <c r="BD14" s="52">
        <v>0.0</v>
      </c>
      <c r="BE14" s="168" t="s">
        <v>292</v>
      </c>
      <c r="BF14" s="236">
        <v>80.0</v>
      </c>
      <c r="BG14" s="237">
        <v>35.0</v>
      </c>
      <c r="BH14" s="238" t="s">
        <v>69</v>
      </c>
      <c r="BI14" s="144">
        <v>-106592.0</v>
      </c>
      <c r="BJ14" s="137"/>
      <c r="BK14" s="137" t="s">
        <v>69</v>
      </c>
      <c r="BL14" s="137"/>
      <c r="BM14" s="137"/>
      <c r="BN14" s="137"/>
      <c r="BO14" s="137"/>
      <c r="BP14" s="137"/>
      <c r="BQ14" s="137"/>
      <c r="BR14" s="137"/>
      <c r="BS14" s="185"/>
      <c r="BT14" s="186"/>
      <c r="BU14" s="186"/>
      <c r="BV14" s="187"/>
      <c r="BW14" s="188"/>
      <c r="BX14" s="189"/>
      <c r="BY14" s="189"/>
      <c r="BZ14" s="189"/>
      <c r="CA14" s="189"/>
      <c r="CB14" s="189"/>
      <c r="CC14" s="189"/>
      <c r="CD14" s="189"/>
      <c r="CE14" s="189">
        <v>1229423.0</v>
      </c>
      <c r="CF14" s="189"/>
      <c r="CG14" s="189"/>
      <c r="CH14" s="190"/>
    </row>
    <row r="15" ht="14.25" customHeight="1">
      <c r="AO15" s="5"/>
      <c r="AP15" s="5"/>
      <c r="BC15" s="13"/>
      <c r="BD15" s="13"/>
    </row>
    <row r="16" ht="14.25" customHeight="1">
      <c r="A16" s="11" t="s">
        <v>123</v>
      </c>
      <c r="C16" s="39"/>
      <c r="D16" s="21">
        <v>0.0</v>
      </c>
      <c r="E16" s="76" t="s">
        <v>293</v>
      </c>
      <c r="F16" s="5" t="s">
        <v>121</v>
      </c>
      <c r="G16" s="13" t="s">
        <v>115</v>
      </c>
      <c r="H16" s="11" t="s">
        <v>293</v>
      </c>
      <c r="I16" s="5" t="s">
        <v>62</v>
      </c>
      <c r="J16" s="13" t="s">
        <v>63</v>
      </c>
      <c r="K16" s="15">
        <v>8000.0</v>
      </c>
      <c r="L16" s="5" t="s">
        <v>116</v>
      </c>
      <c r="M16" s="39" t="s">
        <v>85</v>
      </c>
      <c r="N16" s="74" t="s">
        <v>69</v>
      </c>
      <c r="O16" s="5">
        <v>0.06713</v>
      </c>
      <c r="P16" s="16" t="s">
        <v>66</v>
      </c>
      <c r="Q16" s="75">
        <v>2.01</v>
      </c>
      <c r="R16" s="18" t="s">
        <v>67</v>
      </c>
      <c r="S16" s="19">
        <v>2024.0</v>
      </c>
      <c r="T16" s="76" t="s">
        <v>68</v>
      </c>
      <c r="U16" s="5">
        <v>100.0</v>
      </c>
      <c r="V16" s="19">
        <v>2024.0</v>
      </c>
      <c r="W16" s="5">
        <v>83.07</v>
      </c>
      <c r="X16" s="5">
        <v>25.0</v>
      </c>
      <c r="Y16" s="5">
        <v>2.5</v>
      </c>
      <c r="Z16" s="21">
        <v>0.0</v>
      </c>
      <c r="AA16" s="19">
        <v>7.8</v>
      </c>
      <c r="AB16" s="22">
        <v>0.0</v>
      </c>
      <c r="AC16" s="23" t="s">
        <v>69</v>
      </c>
      <c r="AD16" s="24" t="s">
        <v>70</v>
      </c>
      <c r="AE16" s="47">
        <v>2220.0</v>
      </c>
      <c r="AF16" s="22" t="s">
        <v>71</v>
      </c>
      <c r="AG16" s="22">
        <v>335.4</v>
      </c>
      <c r="AH16" s="22">
        <v>10.7</v>
      </c>
      <c r="AI16" s="22">
        <v>0.0</v>
      </c>
      <c r="AJ16" s="26" t="s">
        <v>72</v>
      </c>
      <c r="AK16" s="27">
        <v>0.0</v>
      </c>
      <c r="AL16" s="23" t="s">
        <v>69</v>
      </c>
      <c r="AM16" s="23" t="s">
        <v>69</v>
      </c>
      <c r="AN16" s="23" t="s">
        <v>69</v>
      </c>
      <c r="AO16" s="23" t="s">
        <v>69</v>
      </c>
      <c r="AP16" s="23" t="s">
        <v>69</v>
      </c>
      <c r="AQ16" s="23" t="s">
        <v>69</v>
      </c>
      <c r="AR16" s="23" t="s">
        <v>69</v>
      </c>
      <c r="AS16" s="23" t="s">
        <v>69</v>
      </c>
      <c r="AT16" s="23" t="s">
        <v>69</v>
      </c>
      <c r="AU16" s="23" t="s">
        <v>69</v>
      </c>
      <c r="AV16" s="23" t="s">
        <v>69</v>
      </c>
      <c r="AW16" s="23" t="s">
        <v>69</v>
      </c>
      <c r="AX16" s="23" t="s">
        <v>69</v>
      </c>
      <c r="AY16" s="47">
        <v>0.0</v>
      </c>
      <c r="AZ16" s="77" t="s">
        <v>118</v>
      </c>
      <c r="BA16" s="49">
        <v>1.0</v>
      </c>
      <c r="BB16" s="50">
        <v>10.0</v>
      </c>
      <c r="BC16" s="51" t="s">
        <v>72</v>
      </c>
      <c r="BD16" s="52">
        <v>0.0</v>
      </c>
      <c r="BE16" s="76" t="s">
        <v>293</v>
      </c>
      <c r="BF16" s="133">
        <v>0.0</v>
      </c>
      <c r="BG16" s="134">
        <v>35.0</v>
      </c>
      <c r="BH16" s="184" t="s">
        <v>69</v>
      </c>
      <c r="BI16" s="144">
        <v>243117.0</v>
      </c>
      <c r="BJ16" s="137"/>
      <c r="BK16" s="137" t="s">
        <v>69</v>
      </c>
      <c r="BL16" s="137"/>
      <c r="BM16" s="137"/>
      <c r="BN16" s="137"/>
      <c r="BO16" s="137"/>
      <c r="BP16" s="137"/>
      <c r="BQ16" s="137"/>
      <c r="BR16" s="137"/>
      <c r="BS16" s="185"/>
      <c r="BT16" s="186"/>
      <c r="BU16" s="186"/>
      <c r="BV16" s="187"/>
      <c r="BW16" s="188"/>
      <c r="BX16" s="189"/>
      <c r="BY16" s="189"/>
      <c r="BZ16" s="189"/>
      <c r="CA16" s="189"/>
      <c r="CB16" s="189"/>
      <c r="CC16" s="189"/>
      <c r="CD16" s="189"/>
      <c r="CE16" s="189">
        <v>438012.0</v>
      </c>
      <c r="CF16" s="189"/>
      <c r="CG16" s="189"/>
      <c r="CH16" s="190"/>
    </row>
    <row r="17" ht="14.25" customHeight="1">
      <c r="A17" s="11" t="s">
        <v>123</v>
      </c>
      <c r="C17" s="39"/>
      <c r="D17" s="21">
        <v>2.0</v>
      </c>
      <c r="E17" s="168" t="s">
        <v>294</v>
      </c>
      <c r="F17" s="5" t="s">
        <v>121</v>
      </c>
      <c r="G17" s="13" t="s">
        <v>115</v>
      </c>
      <c r="H17" s="11" t="s">
        <v>294</v>
      </c>
      <c r="I17" s="5" t="s">
        <v>62</v>
      </c>
      <c r="J17" s="13" t="s">
        <v>63</v>
      </c>
      <c r="K17" s="15">
        <v>8000.0</v>
      </c>
      <c r="L17" s="5" t="s">
        <v>116</v>
      </c>
      <c r="M17" s="39" t="s">
        <v>85</v>
      </c>
      <c r="N17" s="74" t="s">
        <v>69</v>
      </c>
      <c r="O17" s="5">
        <v>0.06713</v>
      </c>
      <c r="P17" s="16" t="s">
        <v>66</v>
      </c>
      <c r="Q17" s="75">
        <v>2.01</v>
      </c>
      <c r="R17" s="18" t="s">
        <v>67</v>
      </c>
      <c r="S17" s="19">
        <v>2024.0</v>
      </c>
      <c r="T17" s="76" t="s">
        <v>68</v>
      </c>
      <c r="U17" s="5">
        <v>100.0</v>
      </c>
      <c r="V17" s="19">
        <v>2024.0</v>
      </c>
      <c r="W17" s="5">
        <v>83.07</v>
      </c>
      <c r="X17" s="5">
        <v>25.0</v>
      </c>
      <c r="Y17" s="5">
        <v>2.5</v>
      </c>
      <c r="Z17" s="21">
        <v>2.0</v>
      </c>
      <c r="AA17" s="19">
        <v>7.8</v>
      </c>
      <c r="AB17" s="22">
        <v>0.0</v>
      </c>
      <c r="AC17" s="23" t="s">
        <v>69</v>
      </c>
      <c r="AD17" s="24" t="s">
        <v>70</v>
      </c>
      <c r="AE17" s="47">
        <v>2220.0</v>
      </c>
      <c r="AF17" s="22" t="s">
        <v>71</v>
      </c>
      <c r="AG17" s="22">
        <v>335.4</v>
      </c>
      <c r="AH17" s="22">
        <v>10.7</v>
      </c>
      <c r="AI17" s="22">
        <v>0.0</v>
      </c>
      <c r="AJ17" s="26" t="s">
        <v>72</v>
      </c>
      <c r="AK17" s="27">
        <v>0.0</v>
      </c>
      <c r="AL17" s="23" t="s">
        <v>69</v>
      </c>
      <c r="AM17" s="23" t="s">
        <v>69</v>
      </c>
      <c r="AN17" s="23" t="s">
        <v>69</v>
      </c>
      <c r="AO17" s="23" t="s">
        <v>69</v>
      </c>
      <c r="AP17" s="23" t="s">
        <v>69</v>
      </c>
      <c r="AQ17" s="23" t="s">
        <v>69</v>
      </c>
      <c r="AR17" s="23" t="s">
        <v>69</v>
      </c>
      <c r="AS17" s="23" t="s">
        <v>69</v>
      </c>
      <c r="AT17" s="23" t="s">
        <v>69</v>
      </c>
      <c r="AU17" s="23" t="s">
        <v>69</v>
      </c>
      <c r="AV17" s="23" t="s">
        <v>69</v>
      </c>
      <c r="AW17" s="23" t="s">
        <v>69</v>
      </c>
      <c r="AX17" s="23" t="s">
        <v>69</v>
      </c>
      <c r="AY17" s="47">
        <v>0.0</v>
      </c>
      <c r="AZ17" s="77" t="s">
        <v>118</v>
      </c>
      <c r="BA17" s="49">
        <v>1.0</v>
      </c>
      <c r="BB17" s="50">
        <v>10.0</v>
      </c>
      <c r="BC17" s="51" t="s">
        <v>72</v>
      </c>
      <c r="BD17" s="52">
        <v>0.0</v>
      </c>
      <c r="BE17" s="168" t="s">
        <v>294</v>
      </c>
      <c r="BF17" s="133">
        <v>12.0</v>
      </c>
      <c r="BG17" s="134">
        <v>35.0</v>
      </c>
      <c r="BH17" s="184" t="s">
        <v>69</v>
      </c>
      <c r="BI17" s="144">
        <v>167461.0</v>
      </c>
      <c r="BJ17" s="137"/>
      <c r="BK17" s="137" t="s">
        <v>69</v>
      </c>
      <c r="BL17" s="137"/>
      <c r="BM17" s="137"/>
      <c r="BN17" s="137"/>
      <c r="BO17" s="137"/>
      <c r="BP17" s="137"/>
      <c r="BQ17" s="137"/>
      <c r="BR17" s="137"/>
      <c r="BS17" s="185"/>
      <c r="BT17" s="186"/>
      <c r="BU17" s="186"/>
      <c r="BV17" s="187"/>
      <c r="BW17" s="188"/>
      <c r="BX17" s="189"/>
      <c r="BY17" s="189"/>
      <c r="BZ17" s="189"/>
      <c r="CA17" s="189"/>
      <c r="CB17" s="189"/>
      <c r="CC17" s="189"/>
      <c r="CD17" s="189"/>
      <c r="CE17" s="189">
        <v>556059.0</v>
      </c>
      <c r="CF17" s="189"/>
      <c r="CG17" s="189"/>
      <c r="CH17" s="190"/>
    </row>
    <row r="18" ht="14.25" customHeight="1">
      <c r="A18" s="11" t="s">
        <v>123</v>
      </c>
      <c r="C18" s="39"/>
      <c r="D18" s="21">
        <v>4.0</v>
      </c>
      <c r="E18" s="168" t="s">
        <v>295</v>
      </c>
      <c r="F18" s="5" t="s">
        <v>121</v>
      </c>
      <c r="G18" s="13" t="s">
        <v>115</v>
      </c>
      <c r="H18" s="11" t="s">
        <v>295</v>
      </c>
      <c r="I18" s="5" t="s">
        <v>62</v>
      </c>
      <c r="J18" s="13" t="s">
        <v>63</v>
      </c>
      <c r="K18" s="15">
        <v>8000.0</v>
      </c>
      <c r="L18" s="5" t="s">
        <v>116</v>
      </c>
      <c r="M18" s="39" t="s">
        <v>85</v>
      </c>
      <c r="N18" s="74" t="s">
        <v>69</v>
      </c>
      <c r="O18" s="5">
        <v>0.06713</v>
      </c>
      <c r="P18" s="16" t="s">
        <v>66</v>
      </c>
      <c r="Q18" s="75">
        <v>2.01</v>
      </c>
      <c r="R18" s="18" t="s">
        <v>67</v>
      </c>
      <c r="S18" s="19">
        <v>2024.0</v>
      </c>
      <c r="T18" s="76" t="s">
        <v>68</v>
      </c>
      <c r="U18" s="5">
        <v>100.0</v>
      </c>
      <c r="V18" s="19">
        <v>2024.0</v>
      </c>
      <c r="W18" s="5">
        <v>83.07</v>
      </c>
      <c r="X18" s="5">
        <v>25.0</v>
      </c>
      <c r="Y18" s="5">
        <v>2.5</v>
      </c>
      <c r="Z18" s="21">
        <v>4.0</v>
      </c>
      <c r="AA18" s="19">
        <v>7.8</v>
      </c>
      <c r="AB18" s="22">
        <v>0.0</v>
      </c>
      <c r="AC18" s="23" t="s">
        <v>69</v>
      </c>
      <c r="AD18" s="24" t="s">
        <v>70</v>
      </c>
      <c r="AE18" s="47">
        <v>2220.0</v>
      </c>
      <c r="AF18" s="22" t="s">
        <v>71</v>
      </c>
      <c r="AG18" s="22">
        <v>335.4</v>
      </c>
      <c r="AH18" s="22">
        <v>10.7</v>
      </c>
      <c r="AI18" s="22">
        <v>0.0</v>
      </c>
      <c r="AJ18" s="26" t="s">
        <v>72</v>
      </c>
      <c r="AK18" s="27">
        <v>0.0</v>
      </c>
      <c r="AL18" s="23" t="s">
        <v>69</v>
      </c>
      <c r="AM18" s="23" t="s">
        <v>69</v>
      </c>
      <c r="AN18" s="23" t="s">
        <v>69</v>
      </c>
      <c r="AO18" s="23" t="s">
        <v>69</v>
      </c>
      <c r="AP18" s="23" t="s">
        <v>69</v>
      </c>
      <c r="AQ18" s="23" t="s">
        <v>69</v>
      </c>
      <c r="AR18" s="23" t="s">
        <v>69</v>
      </c>
      <c r="AS18" s="23" t="s">
        <v>69</v>
      </c>
      <c r="AT18" s="23" t="s">
        <v>69</v>
      </c>
      <c r="AU18" s="23" t="s">
        <v>69</v>
      </c>
      <c r="AV18" s="23" t="s">
        <v>69</v>
      </c>
      <c r="AW18" s="23" t="s">
        <v>69</v>
      </c>
      <c r="AX18" s="23" t="s">
        <v>69</v>
      </c>
      <c r="AY18" s="47">
        <v>0.0</v>
      </c>
      <c r="AZ18" s="77" t="s">
        <v>118</v>
      </c>
      <c r="BA18" s="49">
        <v>1.0</v>
      </c>
      <c r="BB18" s="50">
        <v>10.0</v>
      </c>
      <c r="BC18" s="51" t="s">
        <v>72</v>
      </c>
      <c r="BD18" s="52">
        <v>0.0</v>
      </c>
      <c r="BE18" s="168" t="s">
        <v>295</v>
      </c>
      <c r="BF18" s="133">
        <v>23.0</v>
      </c>
      <c r="BG18" s="134">
        <v>35.0</v>
      </c>
      <c r="BH18" s="184" t="s">
        <v>69</v>
      </c>
      <c r="BI18" s="144">
        <v>75793.0</v>
      </c>
      <c r="BJ18" s="137"/>
      <c r="BK18" s="137" t="s">
        <v>69</v>
      </c>
      <c r="BL18" s="137"/>
      <c r="BM18" s="137"/>
      <c r="BN18" s="137"/>
      <c r="BO18" s="137"/>
      <c r="BP18" s="137"/>
      <c r="BQ18" s="137"/>
      <c r="BR18" s="137"/>
      <c r="BS18" s="185"/>
      <c r="BT18" s="186"/>
      <c r="BU18" s="186"/>
      <c r="BV18" s="187"/>
      <c r="BW18" s="188"/>
      <c r="BX18" s="189"/>
      <c r="BY18" s="189"/>
      <c r="BZ18" s="189"/>
      <c r="CA18" s="189"/>
      <c r="CB18" s="189"/>
      <c r="CC18" s="189"/>
      <c r="CD18" s="189"/>
      <c r="CE18" s="189">
        <v>705545.0</v>
      </c>
      <c r="CF18" s="189"/>
      <c r="CG18" s="189"/>
      <c r="CH18" s="190"/>
    </row>
    <row r="19" ht="14.25" customHeight="1">
      <c r="A19" s="11" t="s">
        <v>123</v>
      </c>
      <c r="C19" s="39"/>
      <c r="D19" s="21">
        <v>6.0</v>
      </c>
      <c r="E19" s="168" t="s">
        <v>296</v>
      </c>
      <c r="F19" s="5" t="s">
        <v>121</v>
      </c>
      <c r="G19" s="13" t="s">
        <v>115</v>
      </c>
      <c r="H19" s="11" t="s">
        <v>296</v>
      </c>
      <c r="I19" s="5" t="s">
        <v>62</v>
      </c>
      <c r="J19" s="13" t="s">
        <v>63</v>
      </c>
      <c r="K19" s="15">
        <v>8000.0</v>
      </c>
      <c r="L19" s="5" t="s">
        <v>116</v>
      </c>
      <c r="M19" s="39" t="s">
        <v>85</v>
      </c>
      <c r="N19" s="74" t="s">
        <v>69</v>
      </c>
      <c r="O19" s="5">
        <v>0.06713</v>
      </c>
      <c r="P19" s="16" t="s">
        <v>66</v>
      </c>
      <c r="Q19" s="75">
        <v>2.01</v>
      </c>
      <c r="R19" s="18" t="s">
        <v>67</v>
      </c>
      <c r="S19" s="19">
        <v>2024.0</v>
      </c>
      <c r="T19" s="76" t="s">
        <v>68</v>
      </c>
      <c r="U19" s="5">
        <v>100.0</v>
      </c>
      <c r="V19" s="19">
        <v>2024.0</v>
      </c>
      <c r="W19" s="5">
        <v>83.07</v>
      </c>
      <c r="X19" s="5">
        <v>25.0</v>
      </c>
      <c r="Y19" s="5">
        <v>2.5</v>
      </c>
      <c r="Z19" s="21">
        <v>6.0</v>
      </c>
      <c r="AA19" s="19">
        <v>7.8</v>
      </c>
      <c r="AB19" s="22">
        <v>0.0</v>
      </c>
      <c r="AC19" s="23" t="s">
        <v>69</v>
      </c>
      <c r="AD19" s="24" t="s">
        <v>70</v>
      </c>
      <c r="AE19" s="47">
        <v>2220.0</v>
      </c>
      <c r="AF19" s="22" t="s">
        <v>71</v>
      </c>
      <c r="AG19" s="22">
        <v>335.4</v>
      </c>
      <c r="AH19" s="22">
        <v>10.7</v>
      </c>
      <c r="AI19" s="22">
        <v>0.0</v>
      </c>
      <c r="AJ19" s="26" t="s">
        <v>72</v>
      </c>
      <c r="AK19" s="27">
        <v>0.0</v>
      </c>
      <c r="AL19" s="23" t="s">
        <v>69</v>
      </c>
      <c r="AM19" s="23" t="s">
        <v>69</v>
      </c>
      <c r="AN19" s="23" t="s">
        <v>69</v>
      </c>
      <c r="AO19" s="23" t="s">
        <v>69</v>
      </c>
      <c r="AP19" s="23" t="s">
        <v>69</v>
      </c>
      <c r="AQ19" s="23" t="s">
        <v>69</v>
      </c>
      <c r="AR19" s="23" t="s">
        <v>69</v>
      </c>
      <c r="AS19" s="23" t="s">
        <v>69</v>
      </c>
      <c r="AT19" s="23" t="s">
        <v>69</v>
      </c>
      <c r="AU19" s="23" t="s">
        <v>69</v>
      </c>
      <c r="AV19" s="23" t="s">
        <v>69</v>
      </c>
      <c r="AW19" s="23" t="s">
        <v>69</v>
      </c>
      <c r="AX19" s="23" t="s">
        <v>69</v>
      </c>
      <c r="AY19" s="47">
        <v>0.0</v>
      </c>
      <c r="AZ19" s="77" t="s">
        <v>118</v>
      </c>
      <c r="BA19" s="49">
        <v>1.0</v>
      </c>
      <c r="BB19" s="50">
        <v>10.0</v>
      </c>
      <c r="BC19" s="51" t="s">
        <v>72</v>
      </c>
      <c r="BD19" s="52">
        <v>0.0</v>
      </c>
      <c r="BE19" s="168" t="s">
        <v>296</v>
      </c>
      <c r="BF19" s="133">
        <v>55.0</v>
      </c>
      <c r="BG19" s="134">
        <v>35.0</v>
      </c>
      <c r="BH19" s="184" t="s">
        <v>69</v>
      </c>
      <c r="BI19" s="144">
        <v>-33927.0</v>
      </c>
      <c r="BJ19" s="137"/>
      <c r="BK19" s="137" t="s">
        <v>69</v>
      </c>
      <c r="BL19" s="137"/>
      <c r="BM19" s="137"/>
      <c r="BN19" s="137"/>
      <c r="BO19" s="137"/>
      <c r="BP19" s="137"/>
      <c r="BQ19" s="137"/>
      <c r="BR19" s="137"/>
      <c r="BS19" s="185"/>
      <c r="BT19" s="186"/>
      <c r="BU19" s="186"/>
      <c r="BV19" s="187"/>
      <c r="BW19" s="188"/>
      <c r="BX19" s="189"/>
      <c r="BY19" s="189"/>
      <c r="BZ19" s="189"/>
      <c r="CA19" s="189"/>
      <c r="CB19" s="189"/>
      <c r="CC19" s="189"/>
      <c r="CD19" s="189"/>
      <c r="CE19" s="189">
        <v>894691.0</v>
      </c>
      <c r="CF19" s="189"/>
      <c r="CG19" s="189"/>
      <c r="CH19" s="190"/>
    </row>
    <row r="20" ht="14.25" customHeight="1">
      <c r="A20" s="11" t="s">
        <v>123</v>
      </c>
      <c r="C20" s="39"/>
      <c r="D20" s="21">
        <v>8.0</v>
      </c>
      <c r="E20" s="168" t="s">
        <v>297</v>
      </c>
      <c r="F20" s="5" t="s">
        <v>121</v>
      </c>
      <c r="G20" s="13" t="s">
        <v>115</v>
      </c>
      <c r="H20" s="11" t="s">
        <v>297</v>
      </c>
      <c r="I20" s="5" t="s">
        <v>62</v>
      </c>
      <c r="J20" s="13" t="s">
        <v>63</v>
      </c>
      <c r="K20" s="15">
        <v>8000.0</v>
      </c>
      <c r="L20" s="5" t="s">
        <v>116</v>
      </c>
      <c r="M20" s="39" t="s">
        <v>85</v>
      </c>
      <c r="N20" s="74" t="s">
        <v>69</v>
      </c>
      <c r="O20" s="5">
        <v>0.06713</v>
      </c>
      <c r="P20" s="16" t="s">
        <v>66</v>
      </c>
      <c r="Q20" s="75">
        <v>2.01</v>
      </c>
      <c r="R20" s="18" t="s">
        <v>67</v>
      </c>
      <c r="S20" s="19">
        <v>2024.0</v>
      </c>
      <c r="T20" s="76" t="s">
        <v>68</v>
      </c>
      <c r="U20" s="5">
        <v>100.0</v>
      </c>
      <c r="V20" s="19">
        <v>2024.0</v>
      </c>
      <c r="W20" s="5">
        <v>83.07</v>
      </c>
      <c r="X20" s="5">
        <v>25.0</v>
      </c>
      <c r="Y20" s="5">
        <v>2.5</v>
      </c>
      <c r="Z20" s="21">
        <v>8.0</v>
      </c>
      <c r="AA20" s="19">
        <v>7.8</v>
      </c>
      <c r="AB20" s="22">
        <v>0.0</v>
      </c>
      <c r="AC20" s="23" t="s">
        <v>69</v>
      </c>
      <c r="AD20" s="24" t="s">
        <v>70</v>
      </c>
      <c r="AE20" s="47">
        <v>2220.0</v>
      </c>
      <c r="AF20" s="22" t="s">
        <v>71</v>
      </c>
      <c r="AG20" s="22">
        <v>335.4</v>
      </c>
      <c r="AH20" s="22">
        <v>10.7</v>
      </c>
      <c r="AI20" s="22">
        <v>0.0</v>
      </c>
      <c r="AJ20" s="26" t="s">
        <v>72</v>
      </c>
      <c r="AK20" s="27">
        <v>0.0</v>
      </c>
      <c r="AL20" s="23" t="s">
        <v>69</v>
      </c>
      <c r="AM20" s="23" t="s">
        <v>69</v>
      </c>
      <c r="AN20" s="23" t="s">
        <v>69</v>
      </c>
      <c r="AO20" s="23" t="s">
        <v>69</v>
      </c>
      <c r="AP20" s="23" t="s">
        <v>69</v>
      </c>
      <c r="AQ20" s="23" t="s">
        <v>69</v>
      </c>
      <c r="AR20" s="23" t="s">
        <v>69</v>
      </c>
      <c r="AS20" s="23" t="s">
        <v>69</v>
      </c>
      <c r="AT20" s="23" t="s">
        <v>69</v>
      </c>
      <c r="AU20" s="23" t="s">
        <v>69</v>
      </c>
      <c r="AV20" s="23" t="s">
        <v>69</v>
      </c>
      <c r="AW20" s="23" t="s">
        <v>69</v>
      </c>
      <c r="AX20" s="23" t="s">
        <v>69</v>
      </c>
      <c r="AY20" s="47">
        <v>0.0</v>
      </c>
      <c r="AZ20" s="77" t="s">
        <v>118</v>
      </c>
      <c r="BA20" s="49">
        <v>1.0</v>
      </c>
      <c r="BB20" s="50">
        <v>10.0</v>
      </c>
      <c r="BC20" s="51" t="s">
        <v>72</v>
      </c>
      <c r="BD20" s="52">
        <v>0.0</v>
      </c>
      <c r="BE20" s="168" t="s">
        <v>297</v>
      </c>
      <c r="BF20" s="133">
        <v>80.0</v>
      </c>
      <c r="BG20" s="134">
        <v>35.0</v>
      </c>
      <c r="BH20" s="184" t="s">
        <v>69</v>
      </c>
      <c r="BI20" s="144">
        <v>-147606.0</v>
      </c>
      <c r="BJ20" s="137"/>
      <c r="BK20" s="137" t="s">
        <v>69</v>
      </c>
      <c r="BL20" s="137"/>
      <c r="BM20" s="137"/>
      <c r="BN20" s="137"/>
      <c r="BO20" s="137"/>
      <c r="BP20" s="137"/>
      <c r="BQ20" s="137"/>
      <c r="BR20" s="137"/>
      <c r="BS20" s="185"/>
      <c r="BT20" s="186"/>
      <c r="BU20" s="186"/>
      <c r="BV20" s="187"/>
      <c r="BW20" s="188"/>
      <c r="BX20" s="189"/>
      <c r="BY20" s="189"/>
      <c r="BZ20" s="189"/>
      <c r="CA20" s="189"/>
      <c r="CB20" s="189"/>
      <c r="CC20" s="189"/>
      <c r="CD20" s="189"/>
      <c r="CE20" s="189">
        <v>1118116.0</v>
      </c>
      <c r="CF20" s="189"/>
      <c r="CG20" s="189"/>
      <c r="CH20" s="190"/>
    </row>
    <row r="21" ht="14.25" customHeight="1">
      <c r="A21" s="11" t="s">
        <v>123</v>
      </c>
      <c r="C21" s="39"/>
      <c r="D21" s="21">
        <v>10.0</v>
      </c>
      <c r="E21" s="168" t="s">
        <v>298</v>
      </c>
      <c r="F21" s="5" t="s">
        <v>121</v>
      </c>
      <c r="G21" s="13" t="s">
        <v>115</v>
      </c>
      <c r="H21" s="11" t="s">
        <v>298</v>
      </c>
      <c r="I21" s="5" t="s">
        <v>62</v>
      </c>
      <c r="J21" s="13" t="s">
        <v>63</v>
      </c>
      <c r="K21" s="15">
        <v>8000.0</v>
      </c>
      <c r="L21" s="5" t="s">
        <v>116</v>
      </c>
      <c r="M21" s="39" t="s">
        <v>85</v>
      </c>
      <c r="N21" s="74" t="s">
        <v>69</v>
      </c>
      <c r="O21" s="5">
        <v>0.06713</v>
      </c>
      <c r="P21" s="16" t="s">
        <v>66</v>
      </c>
      <c r="Q21" s="75">
        <v>2.01</v>
      </c>
      <c r="R21" s="18" t="s">
        <v>67</v>
      </c>
      <c r="S21" s="19">
        <v>2024.0</v>
      </c>
      <c r="T21" s="76" t="s">
        <v>68</v>
      </c>
      <c r="U21" s="5">
        <v>100.0</v>
      </c>
      <c r="V21" s="19">
        <v>2024.0</v>
      </c>
      <c r="W21" s="5">
        <v>83.07</v>
      </c>
      <c r="X21" s="5">
        <v>25.0</v>
      </c>
      <c r="Y21" s="5">
        <v>2.5</v>
      </c>
      <c r="Z21" s="21">
        <v>10.0</v>
      </c>
      <c r="AA21" s="19">
        <v>7.8</v>
      </c>
      <c r="AB21" s="22">
        <v>0.0</v>
      </c>
      <c r="AC21" s="23" t="s">
        <v>69</v>
      </c>
      <c r="AD21" s="24" t="s">
        <v>70</v>
      </c>
      <c r="AE21" s="47">
        <v>2220.0</v>
      </c>
      <c r="AF21" s="22" t="s">
        <v>71</v>
      </c>
      <c r="AG21" s="22">
        <v>335.4</v>
      </c>
      <c r="AH21" s="22">
        <v>10.7</v>
      </c>
      <c r="AI21" s="22">
        <v>0.0</v>
      </c>
      <c r="AJ21" s="26" t="s">
        <v>72</v>
      </c>
      <c r="AK21" s="27">
        <v>0.0</v>
      </c>
      <c r="AL21" s="23" t="s">
        <v>69</v>
      </c>
      <c r="AM21" s="23" t="s">
        <v>69</v>
      </c>
      <c r="AN21" s="23" t="s">
        <v>69</v>
      </c>
      <c r="AO21" s="23" t="s">
        <v>69</v>
      </c>
      <c r="AP21" s="23" t="s">
        <v>69</v>
      </c>
      <c r="AQ21" s="23" t="s">
        <v>69</v>
      </c>
      <c r="AR21" s="23" t="s">
        <v>69</v>
      </c>
      <c r="AS21" s="23" t="s">
        <v>69</v>
      </c>
      <c r="AT21" s="23" t="s">
        <v>69</v>
      </c>
      <c r="AU21" s="23" t="s">
        <v>69</v>
      </c>
      <c r="AV21" s="23" t="s">
        <v>69</v>
      </c>
      <c r="AW21" s="23" t="s">
        <v>69</v>
      </c>
      <c r="AX21" s="23" t="s">
        <v>69</v>
      </c>
      <c r="AY21" s="47">
        <v>0.0</v>
      </c>
      <c r="AZ21" s="77" t="s">
        <v>118</v>
      </c>
      <c r="BA21" s="49">
        <v>1.0</v>
      </c>
      <c r="BB21" s="50">
        <v>10.0</v>
      </c>
      <c r="BC21" s="51" t="s">
        <v>72</v>
      </c>
      <c r="BD21" s="52">
        <v>0.0</v>
      </c>
      <c r="BE21" s="168" t="s">
        <v>298</v>
      </c>
      <c r="BF21" s="236">
        <v>80.0</v>
      </c>
      <c r="BG21" s="237">
        <v>35.0</v>
      </c>
      <c r="BH21" s="238" t="s">
        <v>69</v>
      </c>
      <c r="BI21" s="144">
        <v>-301704.0</v>
      </c>
      <c r="BJ21" s="137"/>
      <c r="BK21" s="137" t="s">
        <v>69</v>
      </c>
      <c r="BL21" s="137"/>
      <c r="BM21" s="137"/>
      <c r="BN21" s="137"/>
      <c r="BO21" s="137"/>
      <c r="BP21" s="137"/>
      <c r="BQ21" s="137"/>
      <c r="BR21" s="137"/>
      <c r="BS21" s="185"/>
      <c r="BT21" s="186"/>
      <c r="BU21" s="186"/>
      <c r="BV21" s="187"/>
      <c r="BW21" s="188"/>
      <c r="BX21" s="189"/>
      <c r="BY21" s="189"/>
      <c r="BZ21" s="189"/>
      <c r="CA21" s="189"/>
      <c r="CB21" s="189"/>
      <c r="CC21" s="189"/>
      <c r="CD21" s="189"/>
      <c r="CE21" s="189">
        <v>1424534.0</v>
      </c>
      <c r="CF21" s="189"/>
      <c r="CG21" s="189"/>
      <c r="CH21" s="190"/>
    </row>
    <row r="22" ht="14.25" customHeight="1">
      <c r="BC22" s="13"/>
      <c r="BD22" s="13"/>
    </row>
    <row r="23" ht="14.25" customHeight="1">
      <c r="BC23" s="13"/>
      <c r="BD23" s="13"/>
    </row>
    <row r="24" ht="14.25" customHeight="1">
      <c r="BC24" s="13"/>
      <c r="BD24" s="13"/>
    </row>
    <row r="25" ht="14.25" customHeight="1">
      <c r="A25" s="5" t="s">
        <v>299</v>
      </c>
      <c r="BC25" s="13"/>
      <c r="BD25" s="13"/>
    </row>
    <row r="26" ht="14.25" customHeight="1">
      <c r="A26" s="239" t="s">
        <v>300</v>
      </c>
      <c r="BC26" s="13"/>
      <c r="BD26" s="13"/>
    </row>
    <row r="27" ht="14.25" customHeight="1">
      <c r="A27" s="2" t="s">
        <v>20</v>
      </c>
      <c r="B27" s="8" t="s">
        <v>86</v>
      </c>
      <c r="C27" s="8" t="s">
        <v>84</v>
      </c>
      <c r="D27" s="8" t="s">
        <v>85</v>
      </c>
      <c r="BC27" s="13"/>
      <c r="BD27" s="13"/>
    </row>
    <row r="28" ht="14.25" customHeight="1">
      <c r="A28" s="21">
        <v>0.0</v>
      </c>
      <c r="B28" s="144">
        <v>243117.0</v>
      </c>
      <c r="C28" s="33">
        <v>243117.0</v>
      </c>
      <c r="D28" s="33">
        <v>243117.0</v>
      </c>
      <c r="BC28" s="13"/>
      <c r="BD28" s="13"/>
    </row>
    <row r="29" ht="14.25" customHeight="1">
      <c r="A29" s="21">
        <v>2.0</v>
      </c>
      <c r="B29" s="144">
        <v>165443.0</v>
      </c>
      <c r="C29" s="33">
        <v>169396.0</v>
      </c>
      <c r="D29" s="33">
        <v>167461.0</v>
      </c>
      <c r="BC29" s="13"/>
      <c r="BD29" s="13"/>
    </row>
    <row r="30" ht="14.25" customHeight="1">
      <c r="A30" s="21">
        <v>4.0</v>
      </c>
      <c r="B30" s="144">
        <v>59505.0</v>
      </c>
      <c r="C30" s="33">
        <v>128419.0</v>
      </c>
      <c r="D30" s="33">
        <v>75793.0</v>
      </c>
      <c r="BC30" s="13"/>
      <c r="BD30" s="13"/>
    </row>
    <row r="31" ht="14.25" customHeight="1">
      <c r="A31" s="21">
        <v>6.0</v>
      </c>
      <c r="B31" s="144">
        <v>-86028.0</v>
      </c>
      <c r="C31" s="33">
        <v>74069.0</v>
      </c>
      <c r="D31" s="33">
        <v>-33927.0</v>
      </c>
      <c r="BC31" s="13"/>
      <c r="BD31" s="13"/>
    </row>
    <row r="32" ht="14.25" customHeight="1">
      <c r="A32" s="21">
        <v>8.0</v>
      </c>
      <c r="B32" s="144">
        <v>-287117.0</v>
      </c>
      <c r="C32" s="33">
        <v>-1395.0</v>
      </c>
      <c r="D32" s="33">
        <v>-147606.0</v>
      </c>
      <c r="BC32" s="13"/>
      <c r="BD32" s="13"/>
    </row>
    <row r="33" ht="14.25" customHeight="1">
      <c r="A33" s="21">
        <v>10.0</v>
      </c>
      <c r="B33" s="144">
        <v>-566212.0</v>
      </c>
      <c r="C33" s="33">
        <v>-106592.0</v>
      </c>
      <c r="D33" s="33">
        <v>-301704.0</v>
      </c>
      <c r="BC33" s="13"/>
      <c r="BD33" s="13"/>
    </row>
    <row r="34" ht="14.25" customHeight="1">
      <c r="A34" s="239" t="s">
        <v>301</v>
      </c>
      <c r="BC34" s="13"/>
      <c r="BD34" s="13"/>
    </row>
    <row r="35" ht="14.25" customHeight="1">
      <c r="A35" s="2" t="s">
        <v>20</v>
      </c>
      <c r="B35" s="8" t="s">
        <v>86</v>
      </c>
      <c r="C35" s="8" t="s">
        <v>84</v>
      </c>
      <c r="D35" s="8" t="s">
        <v>85</v>
      </c>
      <c r="BC35" s="13"/>
      <c r="BD35" s="13"/>
    </row>
    <row r="36" ht="14.25" customHeight="1">
      <c r="A36" s="21">
        <v>0.0</v>
      </c>
      <c r="B36" s="144">
        <f t="shared" ref="B36:B41" si="1">CE2+110000</f>
        <v>548012</v>
      </c>
      <c r="C36" s="33">
        <f t="shared" ref="C36:C41" si="2">CE9+110000</f>
        <v>548012</v>
      </c>
      <c r="D36" s="33">
        <f t="shared" ref="D36:D41" si="3">CE16+110000</f>
        <v>548012</v>
      </c>
      <c r="BC36" s="13"/>
      <c r="BD36" s="13"/>
    </row>
    <row r="37" ht="14.25" customHeight="1">
      <c r="A37" s="21">
        <v>2.0</v>
      </c>
      <c r="B37" s="144">
        <f t="shared" si="1"/>
        <v>668078</v>
      </c>
      <c r="C37" s="33">
        <f t="shared" si="2"/>
        <v>664124</v>
      </c>
      <c r="D37" s="33">
        <f t="shared" si="3"/>
        <v>666059</v>
      </c>
      <c r="BC37" s="13"/>
      <c r="BD37" s="13"/>
    </row>
    <row r="38" ht="14.25" customHeight="1">
      <c r="A38" s="21">
        <v>4.0</v>
      </c>
      <c r="B38" s="144">
        <f t="shared" si="1"/>
        <v>831833</v>
      </c>
      <c r="C38" s="33">
        <f t="shared" si="2"/>
        <v>762918</v>
      </c>
      <c r="D38" s="33">
        <f t="shared" si="3"/>
        <v>815545</v>
      </c>
      <c r="BC38" s="13"/>
      <c r="BD38" s="13"/>
    </row>
    <row r="39" ht="14.25" customHeight="1">
      <c r="A39" s="21">
        <v>6.0</v>
      </c>
      <c r="B39" s="144">
        <f t="shared" si="1"/>
        <v>1056792</v>
      </c>
      <c r="C39" s="33">
        <f t="shared" si="2"/>
        <v>896695</v>
      </c>
      <c r="D39" s="33">
        <f t="shared" si="3"/>
        <v>1004691</v>
      </c>
      <c r="BC39" s="13"/>
      <c r="BD39" s="13"/>
    </row>
    <row r="40" ht="14.25" customHeight="1">
      <c r="A40" s="21">
        <v>8.0</v>
      </c>
      <c r="B40" s="144">
        <f t="shared" si="1"/>
        <v>1367627</v>
      </c>
      <c r="C40" s="33">
        <f t="shared" si="2"/>
        <v>1081906</v>
      </c>
      <c r="D40" s="33">
        <f t="shared" si="3"/>
        <v>1228116</v>
      </c>
      <c r="BC40" s="13"/>
      <c r="BD40" s="13"/>
    </row>
    <row r="41" ht="14.25" customHeight="1">
      <c r="A41" s="21">
        <v>10.0</v>
      </c>
      <c r="B41" s="144">
        <f t="shared" si="1"/>
        <v>1799043</v>
      </c>
      <c r="C41" s="33">
        <f t="shared" si="2"/>
        <v>1339423</v>
      </c>
      <c r="D41" s="33">
        <f t="shared" si="3"/>
        <v>1534534</v>
      </c>
      <c r="BC41" s="13"/>
      <c r="BD41" s="13"/>
    </row>
    <row r="42" ht="14.25" customHeight="1">
      <c r="BC42" s="13"/>
      <c r="BD42" s="13"/>
    </row>
    <row r="43" ht="14.25" customHeight="1">
      <c r="A43" s="2" t="s">
        <v>20</v>
      </c>
      <c r="B43" s="8" t="s">
        <v>84</v>
      </c>
      <c r="C43" s="8" t="s">
        <v>85</v>
      </c>
      <c r="BC43" s="13"/>
      <c r="BD43" s="13"/>
    </row>
    <row r="44" ht="14.25" customHeight="1">
      <c r="A44" s="21">
        <v>0.0</v>
      </c>
      <c r="B44" s="5">
        <v>0.0</v>
      </c>
      <c r="C44" s="5">
        <v>0.0</v>
      </c>
      <c r="BC44" s="13"/>
      <c r="BD44" s="13"/>
    </row>
    <row r="45" ht="14.25" customHeight="1">
      <c r="A45" s="21">
        <v>2.0</v>
      </c>
      <c r="B45" s="5">
        <v>37.0</v>
      </c>
      <c r="C45" s="5">
        <v>12.0</v>
      </c>
      <c r="BC45" s="13"/>
      <c r="BD45" s="13"/>
    </row>
    <row r="46" ht="14.25" customHeight="1">
      <c r="A46" s="21">
        <v>4.0</v>
      </c>
      <c r="B46" s="5">
        <v>80.0</v>
      </c>
      <c r="C46" s="5">
        <v>23.0</v>
      </c>
      <c r="BC46" s="13"/>
      <c r="BD46" s="13"/>
    </row>
    <row r="47" ht="14.25" customHeight="1">
      <c r="A47" s="21">
        <v>6.0</v>
      </c>
      <c r="B47" s="5">
        <v>80.0</v>
      </c>
      <c r="C47" s="5">
        <v>55.0</v>
      </c>
      <c r="BC47" s="13"/>
      <c r="BD47" s="13"/>
    </row>
    <row r="48" ht="14.25" customHeight="1">
      <c r="A48" s="21">
        <v>8.0</v>
      </c>
      <c r="B48" s="5">
        <v>80.0</v>
      </c>
      <c r="C48" s="5">
        <v>80.0</v>
      </c>
      <c r="BC48" s="13"/>
      <c r="BD48" s="13"/>
    </row>
    <row r="49" ht="14.25" customHeight="1">
      <c r="A49" s="21">
        <v>10.0</v>
      </c>
      <c r="B49" s="5">
        <v>80.0</v>
      </c>
      <c r="C49" s="5">
        <v>80.0</v>
      </c>
      <c r="BC49" s="13"/>
      <c r="BD49" s="13"/>
    </row>
    <row r="50" ht="14.25" customHeight="1">
      <c r="BC50" s="13"/>
      <c r="BD50" s="13"/>
    </row>
    <row r="51" ht="14.25" customHeight="1">
      <c r="BC51" s="13"/>
      <c r="BD51" s="13"/>
    </row>
    <row r="52" ht="54.0" customHeight="1">
      <c r="A52" s="1" t="s">
        <v>0</v>
      </c>
      <c r="B52" s="35" t="s">
        <v>84</v>
      </c>
      <c r="C52" s="35" t="s">
        <v>85</v>
      </c>
      <c r="D52" s="2" t="s">
        <v>12</v>
      </c>
      <c r="E52" s="3" t="s">
        <v>3</v>
      </c>
      <c r="F52" s="4" t="s">
        <v>4</v>
      </c>
      <c r="G52" s="4" t="s">
        <v>88</v>
      </c>
      <c r="H52" s="2" t="s">
        <v>5</v>
      </c>
      <c r="I52" s="2" t="s">
        <v>6</v>
      </c>
      <c r="J52" s="2" t="s">
        <v>7</v>
      </c>
      <c r="K52" s="2" t="s">
        <v>8</v>
      </c>
      <c r="L52" s="4" t="s">
        <v>9</v>
      </c>
      <c r="M52" s="4" t="s">
        <v>10</v>
      </c>
      <c r="N52" s="4" t="s">
        <v>89</v>
      </c>
      <c r="O52" s="4" t="s">
        <v>90</v>
      </c>
      <c r="P52" s="4" t="s">
        <v>11</v>
      </c>
      <c r="Q52" s="4" t="s">
        <v>12</v>
      </c>
      <c r="R52" s="2" t="s">
        <v>13</v>
      </c>
      <c r="S52" s="2" t="s">
        <v>14</v>
      </c>
      <c r="T52" s="2" t="s">
        <v>15</v>
      </c>
      <c r="U52" s="2" t="s">
        <v>16</v>
      </c>
      <c r="V52" s="2" t="s">
        <v>14</v>
      </c>
      <c r="W52" s="2" t="s">
        <v>17</v>
      </c>
      <c r="X52" s="4" t="s">
        <v>18</v>
      </c>
      <c r="Y52" s="4" t="s">
        <v>19</v>
      </c>
      <c r="Z52" s="4" t="s">
        <v>20</v>
      </c>
      <c r="AA52" s="4" t="s">
        <v>21</v>
      </c>
      <c r="AB52" s="4" t="s">
        <v>22</v>
      </c>
      <c r="AC52" s="2" t="s">
        <v>23</v>
      </c>
      <c r="AD52" s="4" t="s">
        <v>24</v>
      </c>
      <c r="AE52" s="4" t="s">
        <v>25</v>
      </c>
      <c r="AF52" s="4" t="s">
        <v>26</v>
      </c>
      <c r="AG52" s="4" t="s">
        <v>27</v>
      </c>
      <c r="AH52" s="4" t="s">
        <v>28</v>
      </c>
      <c r="AI52" s="4" t="s">
        <v>29</v>
      </c>
      <c r="AJ52" s="4" t="s">
        <v>30</v>
      </c>
      <c r="AK52" s="4" t="s">
        <v>31</v>
      </c>
      <c r="AL52" s="2" t="s">
        <v>91</v>
      </c>
      <c r="AM52" s="2" t="s">
        <v>92</v>
      </c>
      <c r="AN52" s="2" t="s">
        <v>93</v>
      </c>
      <c r="AO52" s="2" t="s">
        <v>94</v>
      </c>
      <c r="AP52" s="2" t="s">
        <v>95</v>
      </c>
      <c r="AQ52" s="2" t="s">
        <v>96</v>
      </c>
      <c r="AR52" s="2" t="s">
        <v>97</v>
      </c>
      <c r="AS52" s="2" t="s">
        <v>98</v>
      </c>
      <c r="AT52" s="2" t="s">
        <v>99</v>
      </c>
      <c r="AU52" s="2" t="s">
        <v>100</v>
      </c>
      <c r="AV52" s="2" t="s">
        <v>29</v>
      </c>
      <c r="AW52" s="2" t="s">
        <v>30</v>
      </c>
      <c r="AX52" s="2" t="s">
        <v>31</v>
      </c>
      <c r="AY52" s="4" t="s">
        <v>101</v>
      </c>
      <c r="AZ52" s="4" t="s">
        <v>102</v>
      </c>
      <c r="BA52" s="4" t="s">
        <v>103</v>
      </c>
      <c r="BB52" s="36" t="s">
        <v>104</v>
      </c>
      <c r="BC52" s="37" t="s">
        <v>30</v>
      </c>
      <c r="BD52" s="37" t="s">
        <v>31</v>
      </c>
      <c r="BE52" s="3" t="s">
        <v>3</v>
      </c>
      <c r="BF52" s="6" t="s">
        <v>32</v>
      </c>
      <c r="BG52" s="38" t="s">
        <v>33</v>
      </c>
      <c r="BH52" s="38" t="s">
        <v>105</v>
      </c>
      <c r="BI52" s="8" t="s">
        <v>34</v>
      </c>
      <c r="BJ52" s="9" t="s">
        <v>35</v>
      </c>
      <c r="BK52" s="9" t="s">
        <v>36</v>
      </c>
      <c r="BL52" s="9" t="s">
        <v>37</v>
      </c>
      <c r="BM52" s="9" t="s">
        <v>38</v>
      </c>
      <c r="BN52" s="9" t="s">
        <v>39</v>
      </c>
      <c r="BO52" s="9" t="s">
        <v>40</v>
      </c>
      <c r="BP52" s="9" t="s">
        <v>41</v>
      </c>
      <c r="BQ52" s="9" t="s">
        <v>42</v>
      </c>
      <c r="BR52" s="9" t="s">
        <v>43</v>
      </c>
      <c r="BS52" s="10" t="s">
        <v>223</v>
      </c>
      <c r="BT52" s="10" t="s">
        <v>224</v>
      </c>
      <c r="BU52" s="10" t="s">
        <v>46</v>
      </c>
      <c r="BV52" s="10" t="s">
        <v>47</v>
      </c>
      <c r="BW52" s="10" t="s">
        <v>48</v>
      </c>
      <c r="BX52" s="10" t="s">
        <v>225</v>
      </c>
      <c r="BY52" s="10" t="s">
        <v>226</v>
      </c>
      <c r="BZ52" s="10" t="s">
        <v>51</v>
      </c>
      <c r="CA52" s="10" t="s">
        <v>247</v>
      </c>
      <c r="CB52" s="10" t="s">
        <v>108</v>
      </c>
      <c r="CC52" s="10" t="s">
        <v>54</v>
      </c>
      <c r="CD52" s="10" t="s">
        <v>109</v>
      </c>
      <c r="CE52" s="10" t="s">
        <v>163</v>
      </c>
      <c r="CF52" s="10" t="s">
        <v>111</v>
      </c>
      <c r="CG52" s="10" t="s">
        <v>112</v>
      </c>
      <c r="CH52" s="10" t="s">
        <v>58</v>
      </c>
    </row>
    <row r="53" ht="14.25" customHeight="1">
      <c r="A53" s="11" t="s">
        <v>113</v>
      </c>
      <c r="B53" s="13"/>
      <c r="C53" s="13"/>
      <c r="D53" s="240">
        <v>1.5</v>
      </c>
      <c r="E53" s="168" t="s">
        <v>302</v>
      </c>
      <c r="F53" s="5" t="s">
        <v>114</v>
      </c>
      <c r="G53" s="13" t="s">
        <v>115</v>
      </c>
      <c r="H53" s="11" t="s">
        <v>303</v>
      </c>
      <c r="I53" s="13" t="s">
        <v>62</v>
      </c>
      <c r="J53" s="13" t="s">
        <v>63</v>
      </c>
      <c r="K53" s="15">
        <v>8000.0</v>
      </c>
      <c r="L53" s="5" t="s">
        <v>304</v>
      </c>
      <c r="M53" s="43" t="s">
        <v>69</v>
      </c>
      <c r="N53" s="19">
        <v>100.0</v>
      </c>
      <c r="O53" s="44" t="s">
        <v>69</v>
      </c>
      <c r="P53" s="16" t="s">
        <v>66</v>
      </c>
      <c r="Q53" s="240">
        <v>1.5</v>
      </c>
      <c r="R53" s="18" t="s">
        <v>67</v>
      </c>
      <c r="S53" s="19">
        <v>2024.0</v>
      </c>
      <c r="T53" s="20" t="s">
        <v>68</v>
      </c>
      <c r="U53" s="19">
        <v>100.0</v>
      </c>
      <c r="V53" s="19">
        <v>2024.0</v>
      </c>
      <c r="W53" s="19">
        <v>83.07</v>
      </c>
      <c r="X53" s="5">
        <v>25.0</v>
      </c>
      <c r="Y53" s="19">
        <v>2.5</v>
      </c>
      <c r="Z53" s="19">
        <v>6.0</v>
      </c>
      <c r="AA53" s="19">
        <v>7.8</v>
      </c>
      <c r="AB53" s="22">
        <v>0.0</v>
      </c>
      <c r="AC53" s="23" t="s">
        <v>69</v>
      </c>
      <c r="AD53" s="24" t="s">
        <v>70</v>
      </c>
      <c r="AE53" s="47" t="s">
        <v>69</v>
      </c>
      <c r="AF53" s="22" t="s">
        <v>71</v>
      </c>
      <c r="AG53" s="22">
        <v>335.4</v>
      </c>
      <c r="AH53" s="22">
        <v>10.7</v>
      </c>
      <c r="AI53" s="22">
        <v>0.0</v>
      </c>
      <c r="AJ53" s="26" t="s">
        <v>72</v>
      </c>
      <c r="AK53" s="27">
        <v>0.0</v>
      </c>
      <c r="AL53" s="23" t="s">
        <v>69</v>
      </c>
      <c r="AM53" s="23" t="s">
        <v>69</v>
      </c>
      <c r="AN53" s="23" t="s">
        <v>69</v>
      </c>
      <c r="AO53" s="23" t="s">
        <v>69</v>
      </c>
      <c r="AP53" s="23" t="s">
        <v>69</v>
      </c>
      <c r="AQ53" s="23" t="s">
        <v>69</v>
      </c>
      <c r="AR53" s="23" t="s">
        <v>69</v>
      </c>
      <c r="AS53" s="23" t="s">
        <v>69</v>
      </c>
      <c r="AT53" s="23" t="s">
        <v>69</v>
      </c>
      <c r="AU53" s="23" t="s">
        <v>69</v>
      </c>
      <c r="AV53" s="23" t="s">
        <v>69</v>
      </c>
      <c r="AW53" s="23" t="s">
        <v>69</v>
      </c>
      <c r="AX53" s="23" t="s">
        <v>69</v>
      </c>
      <c r="AY53" s="47">
        <v>0.0</v>
      </c>
      <c r="AZ53" s="48" t="s">
        <v>118</v>
      </c>
      <c r="BA53" s="49">
        <v>1.0</v>
      </c>
      <c r="BB53" s="50">
        <v>10.0</v>
      </c>
      <c r="BC53" s="51" t="s">
        <v>72</v>
      </c>
      <c r="BD53" s="52">
        <v>0.0</v>
      </c>
      <c r="BE53" s="235" t="s">
        <v>287</v>
      </c>
      <c r="BF53" s="133" t="s">
        <v>69</v>
      </c>
      <c r="BG53" s="134">
        <v>35.0</v>
      </c>
      <c r="BH53" s="184" t="s">
        <v>69</v>
      </c>
      <c r="BI53" s="144">
        <v>-219612.0</v>
      </c>
      <c r="BJ53" s="137" t="s">
        <v>69</v>
      </c>
      <c r="BK53" s="137" t="s">
        <v>69</v>
      </c>
      <c r="BL53" s="137" t="s">
        <v>69</v>
      </c>
      <c r="BM53" s="137" t="s">
        <v>69</v>
      </c>
      <c r="BN53" s="137" t="s">
        <v>69</v>
      </c>
      <c r="BO53" s="137" t="s">
        <v>69</v>
      </c>
      <c r="BP53" s="137" t="s">
        <v>69</v>
      </c>
      <c r="BQ53" s="137" t="s">
        <v>69</v>
      </c>
      <c r="BR53" s="137" t="s">
        <v>69</v>
      </c>
      <c r="BS53" s="185"/>
      <c r="BT53" s="186"/>
      <c r="BU53" s="186"/>
      <c r="BV53" s="187"/>
      <c r="BW53" s="188"/>
      <c r="BX53" s="189"/>
      <c r="BY53" s="189"/>
      <c r="BZ53" s="189"/>
      <c r="CA53" s="189"/>
      <c r="CB53" s="189"/>
      <c r="CC53" s="189"/>
      <c r="CD53" s="144">
        <v>748333.0</v>
      </c>
      <c r="CE53" s="189">
        <v>946792.0</v>
      </c>
      <c r="CF53" s="189"/>
      <c r="CG53" s="189"/>
      <c r="CH53" s="190"/>
    </row>
    <row r="54" ht="14.25" customHeight="1">
      <c r="A54" s="11" t="s">
        <v>113</v>
      </c>
      <c r="B54" s="13"/>
      <c r="C54" s="13"/>
      <c r="D54" s="240">
        <v>1.75</v>
      </c>
      <c r="E54" s="168" t="s">
        <v>305</v>
      </c>
      <c r="F54" s="5" t="s">
        <v>114</v>
      </c>
      <c r="G54" s="13" t="s">
        <v>115</v>
      </c>
      <c r="H54" s="11" t="s">
        <v>306</v>
      </c>
      <c r="I54" s="13" t="s">
        <v>62</v>
      </c>
      <c r="J54" s="13" t="s">
        <v>63</v>
      </c>
      <c r="K54" s="15">
        <v>8000.0</v>
      </c>
      <c r="L54" s="5" t="s">
        <v>304</v>
      </c>
      <c r="M54" s="43" t="s">
        <v>69</v>
      </c>
      <c r="N54" s="19">
        <v>100.0</v>
      </c>
      <c r="O54" s="44" t="s">
        <v>69</v>
      </c>
      <c r="P54" s="16" t="s">
        <v>66</v>
      </c>
      <c r="Q54" s="240">
        <v>1.75</v>
      </c>
      <c r="R54" s="18" t="s">
        <v>67</v>
      </c>
      <c r="S54" s="19">
        <v>2024.0</v>
      </c>
      <c r="T54" s="20" t="s">
        <v>68</v>
      </c>
      <c r="U54" s="19">
        <v>100.0</v>
      </c>
      <c r="V54" s="19">
        <v>2024.0</v>
      </c>
      <c r="W54" s="19">
        <v>83.07</v>
      </c>
      <c r="X54" s="5">
        <v>25.0</v>
      </c>
      <c r="Y54" s="19">
        <v>2.5</v>
      </c>
      <c r="Z54" s="19">
        <v>6.0</v>
      </c>
      <c r="AA54" s="19">
        <v>7.8</v>
      </c>
      <c r="AB54" s="22">
        <v>0.0</v>
      </c>
      <c r="AC54" s="23" t="s">
        <v>69</v>
      </c>
      <c r="AD54" s="24" t="s">
        <v>70</v>
      </c>
      <c r="AE54" s="47" t="s">
        <v>69</v>
      </c>
      <c r="AF54" s="22" t="s">
        <v>71</v>
      </c>
      <c r="AG54" s="22">
        <v>335.4</v>
      </c>
      <c r="AH54" s="22">
        <v>10.7</v>
      </c>
      <c r="AI54" s="22">
        <v>0.0</v>
      </c>
      <c r="AJ54" s="26" t="s">
        <v>72</v>
      </c>
      <c r="AK54" s="27">
        <v>0.0</v>
      </c>
      <c r="AL54" s="23" t="s">
        <v>69</v>
      </c>
      <c r="AM54" s="23" t="s">
        <v>69</v>
      </c>
      <c r="AN54" s="23" t="s">
        <v>69</v>
      </c>
      <c r="AO54" s="23" t="s">
        <v>69</v>
      </c>
      <c r="AP54" s="23" t="s">
        <v>69</v>
      </c>
      <c r="AQ54" s="23" t="s">
        <v>69</v>
      </c>
      <c r="AR54" s="23" t="s">
        <v>69</v>
      </c>
      <c r="AS54" s="23" t="s">
        <v>69</v>
      </c>
      <c r="AT54" s="23" t="s">
        <v>69</v>
      </c>
      <c r="AU54" s="23" t="s">
        <v>69</v>
      </c>
      <c r="AV54" s="23" t="s">
        <v>69</v>
      </c>
      <c r="AW54" s="23" t="s">
        <v>69</v>
      </c>
      <c r="AX54" s="23" t="s">
        <v>69</v>
      </c>
      <c r="AY54" s="47">
        <v>0.0</v>
      </c>
      <c r="AZ54" s="48" t="s">
        <v>118</v>
      </c>
      <c r="BA54" s="49">
        <v>1.0</v>
      </c>
      <c r="BB54" s="50">
        <v>10.0</v>
      </c>
      <c r="BC54" s="51" t="s">
        <v>72</v>
      </c>
      <c r="BD54" s="52">
        <v>0.0</v>
      </c>
      <c r="BE54" s="235" t="s">
        <v>288</v>
      </c>
      <c r="BF54" s="133" t="s">
        <v>69</v>
      </c>
      <c r="BG54" s="134">
        <v>35.0</v>
      </c>
      <c r="BH54" s="184" t="s">
        <v>69</v>
      </c>
      <c r="BI54" s="144">
        <v>-154130.0</v>
      </c>
      <c r="BJ54" s="137" t="s">
        <v>69</v>
      </c>
      <c r="BK54" s="137" t="s">
        <v>69</v>
      </c>
      <c r="BL54" s="137" t="s">
        <v>69</v>
      </c>
      <c r="BM54" s="137" t="s">
        <v>69</v>
      </c>
      <c r="BN54" s="137" t="s">
        <v>69</v>
      </c>
      <c r="BO54" s="137" t="s">
        <v>69</v>
      </c>
      <c r="BP54" s="137" t="s">
        <v>69</v>
      </c>
      <c r="BQ54" s="137" t="s">
        <v>69</v>
      </c>
      <c r="BR54" s="137" t="s">
        <v>69</v>
      </c>
      <c r="BS54" s="185"/>
      <c r="BT54" s="186"/>
      <c r="BU54" s="186"/>
      <c r="BV54" s="187"/>
      <c r="BW54" s="188"/>
      <c r="BX54" s="189"/>
      <c r="BY54" s="189"/>
      <c r="BZ54" s="189"/>
      <c r="CA54" s="189"/>
      <c r="CB54" s="189"/>
      <c r="CC54" s="189"/>
      <c r="CD54" s="144">
        <v>813816.0</v>
      </c>
      <c r="CE54" s="189">
        <v>946792.0</v>
      </c>
      <c r="CF54" s="189"/>
      <c r="CG54" s="189"/>
      <c r="CH54" s="190"/>
    </row>
    <row r="55" ht="14.25" customHeight="1">
      <c r="A55" s="11" t="s">
        <v>113</v>
      </c>
      <c r="B55" s="13"/>
      <c r="C55" s="13"/>
      <c r="D55" s="240">
        <v>2.01</v>
      </c>
      <c r="E55" s="168" t="s">
        <v>307</v>
      </c>
      <c r="F55" s="5" t="s">
        <v>114</v>
      </c>
      <c r="G55" s="13" t="s">
        <v>115</v>
      </c>
      <c r="H55" s="11" t="s">
        <v>308</v>
      </c>
      <c r="I55" s="13" t="s">
        <v>62</v>
      </c>
      <c r="J55" s="13" t="s">
        <v>63</v>
      </c>
      <c r="K55" s="15">
        <v>8000.0</v>
      </c>
      <c r="L55" s="5" t="s">
        <v>304</v>
      </c>
      <c r="M55" s="43" t="s">
        <v>69</v>
      </c>
      <c r="N55" s="19">
        <v>100.0</v>
      </c>
      <c r="O55" s="44" t="s">
        <v>69</v>
      </c>
      <c r="P55" s="16" t="s">
        <v>66</v>
      </c>
      <c r="Q55" s="240">
        <v>2.0</v>
      </c>
      <c r="R55" s="18" t="s">
        <v>67</v>
      </c>
      <c r="S55" s="19">
        <v>2024.0</v>
      </c>
      <c r="T55" s="20" t="s">
        <v>68</v>
      </c>
      <c r="U55" s="19">
        <v>100.0</v>
      </c>
      <c r="V55" s="19">
        <v>2024.0</v>
      </c>
      <c r="W55" s="19">
        <v>83.07</v>
      </c>
      <c r="X55" s="5">
        <v>25.0</v>
      </c>
      <c r="Y55" s="19">
        <v>2.5</v>
      </c>
      <c r="Z55" s="19">
        <v>6.0</v>
      </c>
      <c r="AA55" s="19">
        <v>7.8</v>
      </c>
      <c r="AB55" s="22">
        <v>0.0</v>
      </c>
      <c r="AC55" s="23" t="s">
        <v>69</v>
      </c>
      <c r="AD55" s="24" t="s">
        <v>70</v>
      </c>
      <c r="AE55" s="47" t="s">
        <v>69</v>
      </c>
      <c r="AF55" s="22" t="s">
        <v>71</v>
      </c>
      <c r="AG55" s="22">
        <v>335.4</v>
      </c>
      <c r="AH55" s="22">
        <v>10.7</v>
      </c>
      <c r="AI55" s="22">
        <v>0.0</v>
      </c>
      <c r="AJ55" s="26" t="s">
        <v>72</v>
      </c>
      <c r="AK55" s="27">
        <v>0.0</v>
      </c>
      <c r="AL55" s="23" t="s">
        <v>69</v>
      </c>
      <c r="AM55" s="23" t="s">
        <v>69</v>
      </c>
      <c r="AN55" s="23" t="s">
        <v>69</v>
      </c>
      <c r="AO55" s="23" t="s">
        <v>69</v>
      </c>
      <c r="AP55" s="23" t="s">
        <v>69</v>
      </c>
      <c r="AQ55" s="23" t="s">
        <v>69</v>
      </c>
      <c r="AR55" s="23" t="s">
        <v>69</v>
      </c>
      <c r="AS55" s="23" t="s">
        <v>69</v>
      </c>
      <c r="AT55" s="23" t="s">
        <v>69</v>
      </c>
      <c r="AU55" s="23" t="s">
        <v>69</v>
      </c>
      <c r="AV55" s="23" t="s">
        <v>69</v>
      </c>
      <c r="AW55" s="23" t="s">
        <v>69</v>
      </c>
      <c r="AX55" s="23" t="s">
        <v>69</v>
      </c>
      <c r="AY55" s="47">
        <v>0.0</v>
      </c>
      <c r="AZ55" s="48" t="s">
        <v>118</v>
      </c>
      <c r="BA55" s="49">
        <v>1.0</v>
      </c>
      <c r="BB55" s="50">
        <v>10.0</v>
      </c>
      <c r="BC55" s="51" t="s">
        <v>72</v>
      </c>
      <c r="BD55" s="52">
        <v>0.0</v>
      </c>
      <c r="BE55" s="235" t="s">
        <v>289</v>
      </c>
      <c r="BF55" s="133" t="s">
        <v>69</v>
      </c>
      <c r="BG55" s="134">
        <v>35.0</v>
      </c>
      <c r="BH55" s="184" t="s">
        <v>69</v>
      </c>
      <c r="BI55" s="144">
        <v>-88647.0</v>
      </c>
      <c r="BJ55" s="137" t="s">
        <v>69</v>
      </c>
      <c r="BK55" s="137" t="s">
        <v>69</v>
      </c>
      <c r="BL55" s="137" t="s">
        <v>69</v>
      </c>
      <c r="BM55" s="137" t="s">
        <v>69</v>
      </c>
      <c r="BN55" s="137" t="s">
        <v>69</v>
      </c>
      <c r="BO55" s="137" t="s">
        <v>69</v>
      </c>
      <c r="BP55" s="137" t="s">
        <v>69</v>
      </c>
      <c r="BQ55" s="137" t="s">
        <v>69</v>
      </c>
      <c r="BR55" s="137" t="s">
        <v>69</v>
      </c>
      <c r="BS55" s="185"/>
      <c r="BT55" s="186"/>
      <c r="BU55" s="186"/>
      <c r="BV55" s="187"/>
      <c r="BW55" s="188"/>
      <c r="BX55" s="189"/>
      <c r="BY55" s="189"/>
      <c r="BZ55" s="189"/>
      <c r="CA55" s="189"/>
      <c r="CB55" s="189"/>
      <c r="CC55" s="189"/>
      <c r="CD55" s="144">
        <v>881918.0</v>
      </c>
      <c r="CE55" s="189">
        <v>946792.0</v>
      </c>
      <c r="CF55" s="189"/>
      <c r="CG55" s="189"/>
      <c r="CH55" s="190"/>
    </row>
    <row r="56" ht="14.25" customHeight="1">
      <c r="A56" s="11" t="s">
        <v>113</v>
      </c>
      <c r="B56" s="13"/>
      <c r="C56" s="13"/>
      <c r="D56" s="240">
        <v>2.25</v>
      </c>
      <c r="E56" s="168" t="s">
        <v>309</v>
      </c>
      <c r="F56" s="5" t="s">
        <v>114</v>
      </c>
      <c r="G56" s="13" t="s">
        <v>115</v>
      </c>
      <c r="H56" s="11" t="s">
        <v>310</v>
      </c>
      <c r="I56" s="13" t="s">
        <v>62</v>
      </c>
      <c r="J56" s="13" t="s">
        <v>63</v>
      </c>
      <c r="K56" s="15">
        <v>8000.0</v>
      </c>
      <c r="L56" s="5" t="s">
        <v>304</v>
      </c>
      <c r="M56" s="43" t="s">
        <v>69</v>
      </c>
      <c r="N56" s="19">
        <v>100.0</v>
      </c>
      <c r="O56" s="44" t="s">
        <v>69</v>
      </c>
      <c r="P56" s="16" t="s">
        <v>66</v>
      </c>
      <c r="Q56" s="240">
        <v>2.25</v>
      </c>
      <c r="R56" s="18" t="s">
        <v>67</v>
      </c>
      <c r="S56" s="19">
        <v>2024.0</v>
      </c>
      <c r="T56" s="20" t="s">
        <v>68</v>
      </c>
      <c r="U56" s="19">
        <v>100.0</v>
      </c>
      <c r="V56" s="19">
        <v>2024.0</v>
      </c>
      <c r="W56" s="19">
        <v>83.07</v>
      </c>
      <c r="X56" s="5">
        <v>25.0</v>
      </c>
      <c r="Y56" s="19">
        <v>2.5</v>
      </c>
      <c r="Z56" s="19">
        <v>6.0</v>
      </c>
      <c r="AA56" s="19">
        <v>7.8</v>
      </c>
      <c r="AB56" s="22">
        <v>0.0</v>
      </c>
      <c r="AC56" s="23" t="s">
        <v>69</v>
      </c>
      <c r="AD56" s="24" t="s">
        <v>70</v>
      </c>
      <c r="AE56" s="47" t="s">
        <v>69</v>
      </c>
      <c r="AF56" s="22" t="s">
        <v>71</v>
      </c>
      <c r="AG56" s="22">
        <v>335.4</v>
      </c>
      <c r="AH56" s="22">
        <v>10.7</v>
      </c>
      <c r="AI56" s="22">
        <v>0.0</v>
      </c>
      <c r="AJ56" s="26" t="s">
        <v>72</v>
      </c>
      <c r="AK56" s="27">
        <v>0.0</v>
      </c>
      <c r="AL56" s="23" t="s">
        <v>69</v>
      </c>
      <c r="AM56" s="23" t="s">
        <v>69</v>
      </c>
      <c r="AN56" s="23" t="s">
        <v>69</v>
      </c>
      <c r="AO56" s="23" t="s">
        <v>69</v>
      </c>
      <c r="AP56" s="23" t="s">
        <v>69</v>
      </c>
      <c r="AQ56" s="23" t="s">
        <v>69</v>
      </c>
      <c r="AR56" s="23" t="s">
        <v>69</v>
      </c>
      <c r="AS56" s="23" t="s">
        <v>69</v>
      </c>
      <c r="AT56" s="23" t="s">
        <v>69</v>
      </c>
      <c r="AU56" s="23" t="s">
        <v>69</v>
      </c>
      <c r="AV56" s="23" t="s">
        <v>69</v>
      </c>
      <c r="AW56" s="23" t="s">
        <v>69</v>
      </c>
      <c r="AX56" s="23" t="s">
        <v>69</v>
      </c>
      <c r="AY56" s="47">
        <v>0.0</v>
      </c>
      <c r="AZ56" s="48" t="s">
        <v>118</v>
      </c>
      <c r="BA56" s="49">
        <v>1.0</v>
      </c>
      <c r="BB56" s="50">
        <v>10.0</v>
      </c>
      <c r="BC56" s="51" t="s">
        <v>72</v>
      </c>
      <c r="BD56" s="52">
        <v>0.0</v>
      </c>
      <c r="BE56" s="235" t="s">
        <v>290</v>
      </c>
      <c r="BF56" s="133" t="s">
        <v>69</v>
      </c>
      <c r="BG56" s="134">
        <v>35.0</v>
      </c>
      <c r="BH56" s="184" t="s">
        <v>69</v>
      </c>
      <c r="BI56" s="144">
        <v>-23165.0</v>
      </c>
      <c r="BJ56" s="137" t="s">
        <v>69</v>
      </c>
      <c r="BK56" s="137" t="s">
        <v>69</v>
      </c>
      <c r="BL56" s="137" t="s">
        <v>69</v>
      </c>
      <c r="BM56" s="137" t="s">
        <v>69</v>
      </c>
      <c r="BN56" s="137" t="s">
        <v>69</v>
      </c>
      <c r="BO56" s="137" t="s">
        <v>69</v>
      </c>
      <c r="BP56" s="137" t="s">
        <v>69</v>
      </c>
      <c r="BQ56" s="137" t="s">
        <v>69</v>
      </c>
      <c r="BR56" s="137" t="s">
        <v>69</v>
      </c>
      <c r="BS56" s="185"/>
      <c r="BT56" s="186"/>
      <c r="BU56" s="186"/>
      <c r="BV56" s="187"/>
      <c r="BW56" s="188"/>
      <c r="BX56" s="189"/>
      <c r="BY56" s="189"/>
      <c r="BZ56" s="189"/>
      <c r="CA56" s="189"/>
      <c r="CB56" s="189"/>
      <c r="CC56" s="189"/>
      <c r="CD56" s="144">
        <v>944781.0</v>
      </c>
      <c r="CE56" s="189">
        <v>946792.0</v>
      </c>
      <c r="CF56" s="189"/>
      <c r="CG56" s="189"/>
      <c r="CH56" s="190"/>
    </row>
    <row r="57" ht="14.25" customHeight="1">
      <c r="A57" s="11" t="s">
        <v>113</v>
      </c>
      <c r="B57" s="13"/>
      <c r="C57" s="13"/>
      <c r="D57" s="240">
        <v>2.5</v>
      </c>
      <c r="E57" s="168" t="s">
        <v>311</v>
      </c>
      <c r="F57" s="5" t="s">
        <v>114</v>
      </c>
      <c r="G57" s="13" t="s">
        <v>115</v>
      </c>
      <c r="H57" s="11" t="s">
        <v>312</v>
      </c>
      <c r="I57" s="13" t="s">
        <v>62</v>
      </c>
      <c r="J57" s="13" t="s">
        <v>63</v>
      </c>
      <c r="K57" s="15">
        <v>8000.0</v>
      </c>
      <c r="L57" s="5" t="s">
        <v>304</v>
      </c>
      <c r="M57" s="43" t="s">
        <v>69</v>
      </c>
      <c r="N57" s="19">
        <v>100.0</v>
      </c>
      <c r="O57" s="44" t="s">
        <v>69</v>
      </c>
      <c r="P57" s="16" t="s">
        <v>66</v>
      </c>
      <c r="Q57" s="240">
        <v>2.5</v>
      </c>
      <c r="R57" s="18" t="s">
        <v>67</v>
      </c>
      <c r="S57" s="19">
        <v>2024.0</v>
      </c>
      <c r="T57" s="20" t="s">
        <v>68</v>
      </c>
      <c r="U57" s="19">
        <v>100.0</v>
      </c>
      <c r="V57" s="19">
        <v>2024.0</v>
      </c>
      <c r="W57" s="19">
        <v>83.07</v>
      </c>
      <c r="X57" s="5">
        <v>25.0</v>
      </c>
      <c r="Y57" s="19">
        <v>2.5</v>
      </c>
      <c r="Z57" s="19">
        <v>6.0</v>
      </c>
      <c r="AA57" s="19">
        <v>7.8</v>
      </c>
      <c r="AB57" s="22">
        <v>0.0</v>
      </c>
      <c r="AC57" s="23" t="s">
        <v>69</v>
      </c>
      <c r="AD57" s="24" t="s">
        <v>70</v>
      </c>
      <c r="AE57" s="47" t="s">
        <v>69</v>
      </c>
      <c r="AF57" s="22" t="s">
        <v>71</v>
      </c>
      <c r="AG57" s="22">
        <v>335.4</v>
      </c>
      <c r="AH57" s="22">
        <v>10.7</v>
      </c>
      <c r="AI57" s="22">
        <v>0.0</v>
      </c>
      <c r="AJ57" s="26" t="s">
        <v>72</v>
      </c>
      <c r="AK57" s="27">
        <v>0.0</v>
      </c>
      <c r="AL57" s="23" t="s">
        <v>69</v>
      </c>
      <c r="AM57" s="23" t="s">
        <v>69</v>
      </c>
      <c r="AN57" s="23" t="s">
        <v>69</v>
      </c>
      <c r="AO57" s="23" t="s">
        <v>69</v>
      </c>
      <c r="AP57" s="23" t="s">
        <v>69</v>
      </c>
      <c r="AQ57" s="23" t="s">
        <v>69</v>
      </c>
      <c r="AR57" s="23" t="s">
        <v>69</v>
      </c>
      <c r="AS57" s="23" t="s">
        <v>69</v>
      </c>
      <c r="AT57" s="23" t="s">
        <v>69</v>
      </c>
      <c r="AU57" s="23" t="s">
        <v>69</v>
      </c>
      <c r="AV57" s="23" t="s">
        <v>69</v>
      </c>
      <c r="AW57" s="23" t="s">
        <v>69</v>
      </c>
      <c r="AX57" s="23" t="s">
        <v>69</v>
      </c>
      <c r="AY57" s="47">
        <v>0.0</v>
      </c>
      <c r="AZ57" s="48" t="s">
        <v>118</v>
      </c>
      <c r="BA57" s="49">
        <v>1.0</v>
      </c>
      <c r="BB57" s="50">
        <v>10.0</v>
      </c>
      <c r="BC57" s="51" t="s">
        <v>72</v>
      </c>
      <c r="BD57" s="52">
        <v>0.0</v>
      </c>
      <c r="BE57" s="235" t="s">
        <v>291</v>
      </c>
      <c r="BF57" s="133" t="s">
        <v>69</v>
      </c>
      <c r="BG57" s="134">
        <v>35.0</v>
      </c>
      <c r="BH57" s="184" t="s">
        <v>69</v>
      </c>
      <c r="BI57" s="144">
        <v>42318.0</v>
      </c>
      <c r="BJ57" s="137" t="s">
        <v>69</v>
      </c>
      <c r="BK57" s="137" t="s">
        <v>69</v>
      </c>
      <c r="BL57" s="137" t="s">
        <v>69</v>
      </c>
      <c r="BM57" s="137" t="s">
        <v>69</v>
      </c>
      <c r="BN57" s="137" t="s">
        <v>69</v>
      </c>
      <c r="BO57" s="137" t="s">
        <v>69</v>
      </c>
      <c r="BP57" s="137" t="s">
        <v>69</v>
      </c>
      <c r="BQ57" s="137" t="s">
        <v>69</v>
      </c>
      <c r="BR57" s="137" t="s">
        <v>69</v>
      </c>
      <c r="BS57" s="185"/>
      <c r="BT57" s="186"/>
      <c r="BU57" s="186"/>
      <c r="BV57" s="187"/>
      <c r="BW57" s="188"/>
      <c r="BX57" s="189"/>
      <c r="BY57" s="189"/>
      <c r="BZ57" s="189"/>
      <c r="CA57" s="189"/>
      <c r="CB57" s="189"/>
      <c r="CC57" s="189"/>
      <c r="CD57" s="144">
        <v>1010264.0</v>
      </c>
      <c r="CE57" s="189">
        <v>946792.0</v>
      </c>
      <c r="CF57" s="189"/>
      <c r="CG57" s="189"/>
      <c r="CH57" s="190"/>
    </row>
    <row r="58" ht="14.25" customHeight="1">
      <c r="A58" s="11" t="s">
        <v>113</v>
      </c>
      <c r="B58" s="13"/>
      <c r="C58" s="13"/>
      <c r="D58" s="240">
        <v>2.75</v>
      </c>
      <c r="E58" s="20" t="s">
        <v>313</v>
      </c>
      <c r="F58" s="5" t="s">
        <v>114</v>
      </c>
      <c r="G58" s="13" t="s">
        <v>115</v>
      </c>
      <c r="H58" s="11" t="s">
        <v>313</v>
      </c>
      <c r="I58" s="13" t="s">
        <v>62</v>
      </c>
      <c r="J58" s="13" t="s">
        <v>63</v>
      </c>
      <c r="K58" s="15">
        <v>8000.0</v>
      </c>
      <c r="L58" s="5" t="s">
        <v>304</v>
      </c>
      <c r="M58" s="43" t="s">
        <v>69</v>
      </c>
      <c r="N58" s="19">
        <v>100.0</v>
      </c>
      <c r="O58" s="44" t="s">
        <v>69</v>
      </c>
      <c r="P58" s="16" t="s">
        <v>66</v>
      </c>
      <c r="Q58" s="240">
        <v>2.75</v>
      </c>
      <c r="R58" s="18" t="s">
        <v>67</v>
      </c>
      <c r="S58" s="19">
        <v>2024.0</v>
      </c>
      <c r="T58" s="20" t="s">
        <v>68</v>
      </c>
      <c r="U58" s="19">
        <v>100.0</v>
      </c>
      <c r="V58" s="19">
        <v>2024.0</v>
      </c>
      <c r="W58" s="19">
        <v>83.07</v>
      </c>
      <c r="X58" s="5">
        <v>25.0</v>
      </c>
      <c r="Y58" s="19">
        <v>2.5</v>
      </c>
      <c r="Z58" s="19">
        <v>6.0</v>
      </c>
      <c r="AA58" s="19">
        <v>7.8</v>
      </c>
      <c r="AB58" s="22">
        <v>0.0</v>
      </c>
      <c r="AC58" s="23" t="s">
        <v>69</v>
      </c>
      <c r="AD58" s="24" t="s">
        <v>70</v>
      </c>
      <c r="AE58" s="47" t="s">
        <v>69</v>
      </c>
      <c r="AF58" s="22" t="s">
        <v>71</v>
      </c>
      <c r="AG58" s="22">
        <v>335.4</v>
      </c>
      <c r="AH58" s="22">
        <v>10.7</v>
      </c>
      <c r="AI58" s="22">
        <v>0.0</v>
      </c>
      <c r="AJ58" s="26" t="s">
        <v>72</v>
      </c>
      <c r="AK58" s="27">
        <v>0.0</v>
      </c>
      <c r="AL58" s="23" t="s">
        <v>69</v>
      </c>
      <c r="AM58" s="23" t="s">
        <v>69</v>
      </c>
      <c r="AN58" s="23" t="s">
        <v>69</v>
      </c>
      <c r="AO58" s="23" t="s">
        <v>69</v>
      </c>
      <c r="AP58" s="23" t="s">
        <v>69</v>
      </c>
      <c r="AQ58" s="23" t="s">
        <v>69</v>
      </c>
      <c r="AR58" s="23" t="s">
        <v>69</v>
      </c>
      <c r="AS58" s="23" t="s">
        <v>69</v>
      </c>
      <c r="AT58" s="23" t="s">
        <v>69</v>
      </c>
      <c r="AU58" s="23" t="s">
        <v>69</v>
      </c>
      <c r="AV58" s="23" t="s">
        <v>69</v>
      </c>
      <c r="AW58" s="23" t="s">
        <v>69</v>
      </c>
      <c r="AX58" s="23" t="s">
        <v>69</v>
      </c>
      <c r="AY58" s="47">
        <v>0.0</v>
      </c>
      <c r="AZ58" s="48" t="s">
        <v>118</v>
      </c>
      <c r="BA58" s="49">
        <v>1.0</v>
      </c>
      <c r="BB58" s="50">
        <v>10.0</v>
      </c>
      <c r="BC58" s="51" t="s">
        <v>72</v>
      </c>
      <c r="BD58" s="52">
        <v>0.0</v>
      </c>
      <c r="BE58" s="235" t="s">
        <v>292</v>
      </c>
      <c r="BF58" s="236" t="s">
        <v>69</v>
      </c>
      <c r="BG58" s="237">
        <v>35.0</v>
      </c>
      <c r="BH58" s="238" t="s">
        <v>69</v>
      </c>
      <c r="BI58" s="144">
        <v>107800.0</v>
      </c>
      <c r="BJ58" s="137" t="s">
        <v>69</v>
      </c>
      <c r="BK58" s="137" t="s">
        <v>69</v>
      </c>
      <c r="BL58" s="137" t="s">
        <v>69</v>
      </c>
      <c r="BM58" s="137" t="s">
        <v>69</v>
      </c>
      <c r="BN58" s="137" t="s">
        <v>69</v>
      </c>
      <c r="BO58" s="137" t="s">
        <v>69</v>
      </c>
      <c r="BP58" s="137" t="s">
        <v>69</v>
      </c>
      <c r="BQ58" s="137" t="s">
        <v>69</v>
      </c>
      <c r="BR58" s="137" t="s">
        <v>69</v>
      </c>
      <c r="BS58" s="185"/>
      <c r="BT58" s="186"/>
      <c r="BU58" s="186"/>
      <c r="BV58" s="187"/>
      <c r="BW58" s="188"/>
      <c r="BX58" s="189"/>
      <c r="BY58" s="189"/>
      <c r="BZ58" s="189"/>
      <c r="CA58" s="189"/>
      <c r="CB58" s="189"/>
      <c r="CC58" s="189"/>
      <c r="CD58" s="144">
        <v>1075746.0</v>
      </c>
      <c r="CE58" s="189">
        <v>946792.0</v>
      </c>
      <c r="CF58" s="189"/>
      <c r="CG58" s="189"/>
      <c r="CH58" s="190"/>
    </row>
    <row r="59" ht="14.25" customHeight="1">
      <c r="BC59" s="13"/>
      <c r="BD59" s="13"/>
    </row>
    <row r="60" ht="14.25" customHeight="1">
      <c r="A60" s="11" t="s">
        <v>120</v>
      </c>
      <c r="B60" s="43"/>
      <c r="C60" s="13"/>
      <c r="D60" s="240">
        <v>1.5</v>
      </c>
      <c r="E60" s="168" t="s">
        <v>314</v>
      </c>
      <c r="F60" s="5" t="s">
        <v>121</v>
      </c>
      <c r="G60" s="13" t="s">
        <v>115</v>
      </c>
      <c r="H60" s="11" t="s">
        <v>314</v>
      </c>
      <c r="I60" s="13" t="s">
        <v>62</v>
      </c>
      <c r="J60" s="13" t="s">
        <v>63</v>
      </c>
      <c r="K60" s="15">
        <v>8000.0</v>
      </c>
      <c r="L60" s="5" t="s">
        <v>116</v>
      </c>
      <c r="M60" s="43" t="s">
        <v>84</v>
      </c>
      <c r="N60" s="19">
        <v>100.0</v>
      </c>
      <c r="O60" s="44" t="s">
        <v>69</v>
      </c>
      <c r="P60" s="16" t="s">
        <v>66</v>
      </c>
      <c r="Q60" s="240">
        <v>1.5</v>
      </c>
      <c r="R60" s="18" t="s">
        <v>67</v>
      </c>
      <c r="S60" s="19">
        <v>2024.0</v>
      </c>
      <c r="T60" s="20" t="s">
        <v>68</v>
      </c>
      <c r="U60" s="19">
        <v>100.0</v>
      </c>
      <c r="V60" s="19">
        <v>2024.0</v>
      </c>
      <c r="W60" s="19">
        <v>83.07</v>
      </c>
      <c r="X60" s="5">
        <v>25.0</v>
      </c>
      <c r="Y60" s="19">
        <v>2.5</v>
      </c>
      <c r="Z60" s="19">
        <v>6.0</v>
      </c>
      <c r="AA60" s="19">
        <v>7.8</v>
      </c>
      <c r="AB60" s="22">
        <v>0.0</v>
      </c>
      <c r="AC60" s="23" t="s">
        <v>69</v>
      </c>
      <c r="AD60" s="24" t="s">
        <v>70</v>
      </c>
      <c r="AE60" s="47">
        <v>2220.0</v>
      </c>
      <c r="AF60" s="22" t="s">
        <v>71</v>
      </c>
      <c r="AG60" s="22">
        <v>335.4</v>
      </c>
      <c r="AH60" s="22">
        <v>10.7</v>
      </c>
      <c r="AI60" s="22">
        <v>0.0</v>
      </c>
      <c r="AJ60" s="26" t="s">
        <v>72</v>
      </c>
      <c r="AK60" s="27">
        <v>0.0</v>
      </c>
      <c r="AL60" s="23" t="s">
        <v>69</v>
      </c>
      <c r="AM60" s="23" t="s">
        <v>69</v>
      </c>
      <c r="AN60" s="23" t="s">
        <v>69</v>
      </c>
      <c r="AO60" s="23" t="s">
        <v>69</v>
      </c>
      <c r="AP60" s="23" t="s">
        <v>69</v>
      </c>
      <c r="AQ60" s="23" t="s">
        <v>69</v>
      </c>
      <c r="AR60" s="23" t="s">
        <v>69</v>
      </c>
      <c r="AS60" s="23" t="s">
        <v>69</v>
      </c>
      <c r="AT60" s="23" t="s">
        <v>69</v>
      </c>
      <c r="AU60" s="23" t="s">
        <v>69</v>
      </c>
      <c r="AV60" s="23" t="s">
        <v>69</v>
      </c>
      <c r="AW60" s="23" t="s">
        <v>69</v>
      </c>
      <c r="AX60" s="23" t="s">
        <v>69</v>
      </c>
      <c r="AY60" s="47">
        <v>0.0</v>
      </c>
      <c r="AZ60" s="48" t="s">
        <v>118</v>
      </c>
      <c r="BA60" s="49">
        <v>1.0</v>
      </c>
      <c r="BB60" s="50">
        <v>10.0</v>
      </c>
      <c r="BC60" s="51" t="s">
        <v>72</v>
      </c>
      <c r="BD60" s="52">
        <v>0.0</v>
      </c>
      <c r="BE60" s="14" t="s">
        <v>315</v>
      </c>
      <c r="BF60" s="133">
        <v>80.0</v>
      </c>
      <c r="BG60" s="134">
        <v>35.0</v>
      </c>
      <c r="BH60" s="184" t="s">
        <v>69</v>
      </c>
      <c r="BI60" s="144">
        <v>-59515.0</v>
      </c>
      <c r="BJ60" s="137"/>
      <c r="BK60" s="137" t="s">
        <v>69</v>
      </c>
      <c r="BL60" s="137"/>
      <c r="BM60" s="137"/>
      <c r="BN60" s="137"/>
      <c r="BO60" s="137"/>
      <c r="BP60" s="137"/>
      <c r="BQ60" s="137"/>
      <c r="BR60" s="137"/>
      <c r="BS60" s="185"/>
      <c r="BT60" s="186"/>
      <c r="BU60" s="186"/>
      <c r="BV60" s="187"/>
      <c r="BW60" s="188"/>
      <c r="BX60" s="189"/>
      <c r="BY60" s="189"/>
      <c r="BZ60" s="189"/>
      <c r="CA60" s="189"/>
      <c r="CB60" s="189"/>
      <c r="CC60" s="189"/>
      <c r="CD60" s="189">
        <v>727179.0</v>
      </c>
      <c r="CE60" s="189">
        <v>786695.0</v>
      </c>
      <c r="CF60" s="189"/>
      <c r="CG60" s="189"/>
      <c r="CH60" s="190"/>
    </row>
    <row r="61" ht="14.25" customHeight="1">
      <c r="A61" s="11" t="s">
        <v>120</v>
      </c>
      <c r="B61" s="43"/>
      <c r="C61" s="13"/>
      <c r="D61" s="240">
        <v>1.75</v>
      </c>
      <c r="E61" s="168" t="s">
        <v>316</v>
      </c>
      <c r="F61" s="5" t="s">
        <v>121</v>
      </c>
      <c r="G61" s="13" t="s">
        <v>115</v>
      </c>
      <c r="H61" s="11" t="s">
        <v>316</v>
      </c>
      <c r="I61" s="13" t="s">
        <v>62</v>
      </c>
      <c r="J61" s="13" t="s">
        <v>63</v>
      </c>
      <c r="K61" s="15">
        <v>8000.0</v>
      </c>
      <c r="L61" s="5" t="s">
        <v>116</v>
      </c>
      <c r="M61" s="43" t="s">
        <v>84</v>
      </c>
      <c r="N61" s="19">
        <v>100.0</v>
      </c>
      <c r="O61" s="44" t="s">
        <v>69</v>
      </c>
      <c r="P61" s="16" t="s">
        <v>66</v>
      </c>
      <c r="Q61" s="240">
        <v>1.75</v>
      </c>
      <c r="R61" s="18" t="s">
        <v>67</v>
      </c>
      <c r="S61" s="19">
        <v>2024.0</v>
      </c>
      <c r="T61" s="20" t="s">
        <v>68</v>
      </c>
      <c r="U61" s="19">
        <v>100.0</v>
      </c>
      <c r="V61" s="19">
        <v>2024.0</v>
      </c>
      <c r="W61" s="19">
        <v>83.07</v>
      </c>
      <c r="X61" s="5">
        <v>25.0</v>
      </c>
      <c r="Y61" s="19">
        <v>2.5</v>
      </c>
      <c r="Z61" s="19">
        <v>6.0</v>
      </c>
      <c r="AA61" s="19">
        <v>7.8</v>
      </c>
      <c r="AB61" s="22">
        <v>0.0</v>
      </c>
      <c r="AC61" s="23" t="s">
        <v>69</v>
      </c>
      <c r="AD61" s="24" t="s">
        <v>70</v>
      </c>
      <c r="AE61" s="47">
        <v>2220.0</v>
      </c>
      <c r="AF61" s="22" t="s">
        <v>71</v>
      </c>
      <c r="AG61" s="22">
        <v>335.4</v>
      </c>
      <c r="AH61" s="22">
        <v>10.7</v>
      </c>
      <c r="AI61" s="22">
        <v>0.0</v>
      </c>
      <c r="AJ61" s="26" t="s">
        <v>72</v>
      </c>
      <c r="AK61" s="27">
        <v>0.0</v>
      </c>
      <c r="AL61" s="23" t="s">
        <v>69</v>
      </c>
      <c r="AM61" s="23" t="s">
        <v>69</v>
      </c>
      <c r="AN61" s="23" t="s">
        <v>69</v>
      </c>
      <c r="AO61" s="23" t="s">
        <v>69</v>
      </c>
      <c r="AP61" s="23" t="s">
        <v>69</v>
      </c>
      <c r="AQ61" s="23" t="s">
        <v>69</v>
      </c>
      <c r="AR61" s="23" t="s">
        <v>69</v>
      </c>
      <c r="AS61" s="23" t="s">
        <v>69</v>
      </c>
      <c r="AT61" s="23" t="s">
        <v>69</v>
      </c>
      <c r="AU61" s="23" t="s">
        <v>69</v>
      </c>
      <c r="AV61" s="23" t="s">
        <v>69</v>
      </c>
      <c r="AW61" s="23" t="s">
        <v>69</v>
      </c>
      <c r="AX61" s="23" t="s">
        <v>69</v>
      </c>
      <c r="AY61" s="47">
        <v>0.0</v>
      </c>
      <c r="AZ61" s="48" t="s">
        <v>118</v>
      </c>
      <c r="BA61" s="49">
        <v>1.0</v>
      </c>
      <c r="BB61" s="50">
        <v>10.0</v>
      </c>
      <c r="BC61" s="51" t="s">
        <v>72</v>
      </c>
      <c r="BD61" s="52">
        <v>0.0</v>
      </c>
      <c r="BE61" s="14" t="s">
        <v>317</v>
      </c>
      <c r="BF61" s="133">
        <v>80.0</v>
      </c>
      <c r="BG61" s="134">
        <v>35.0</v>
      </c>
      <c r="BH61" s="184" t="s">
        <v>69</v>
      </c>
      <c r="BI61" s="144">
        <v>5967.0</v>
      </c>
      <c r="BJ61" s="137"/>
      <c r="BK61" s="137" t="s">
        <v>69</v>
      </c>
      <c r="BL61" s="137"/>
      <c r="BM61" s="137"/>
      <c r="BN61" s="137"/>
      <c r="BO61" s="137"/>
      <c r="BP61" s="137"/>
      <c r="BQ61" s="137"/>
      <c r="BR61" s="137"/>
      <c r="BS61" s="185"/>
      <c r="BT61" s="186"/>
      <c r="BU61" s="186"/>
      <c r="BV61" s="187"/>
      <c r="BW61" s="188"/>
      <c r="BX61" s="189"/>
      <c r="BY61" s="189"/>
      <c r="BZ61" s="189"/>
      <c r="CA61" s="189"/>
      <c r="CB61" s="189"/>
      <c r="CC61" s="189"/>
      <c r="CD61" s="189">
        <v>792662.0</v>
      </c>
      <c r="CE61" s="189">
        <v>786695.0</v>
      </c>
      <c r="CF61" s="189"/>
      <c r="CG61" s="189"/>
      <c r="CH61" s="190"/>
    </row>
    <row r="62" ht="14.25" customHeight="1">
      <c r="A62" s="11" t="s">
        <v>120</v>
      </c>
      <c r="B62" s="43"/>
      <c r="C62" s="13"/>
      <c r="D62" s="240">
        <v>2.0</v>
      </c>
      <c r="E62" s="168" t="s">
        <v>318</v>
      </c>
      <c r="F62" s="5" t="s">
        <v>121</v>
      </c>
      <c r="G62" s="13" t="s">
        <v>115</v>
      </c>
      <c r="H62" s="11" t="s">
        <v>318</v>
      </c>
      <c r="I62" s="13" t="s">
        <v>62</v>
      </c>
      <c r="J62" s="13" t="s">
        <v>63</v>
      </c>
      <c r="K62" s="15">
        <v>8000.0</v>
      </c>
      <c r="L62" s="5" t="s">
        <v>116</v>
      </c>
      <c r="M62" s="43" t="s">
        <v>84</v>
      </c>
      <c r="N62" s="19">
        <v>100.0</v>
      </c>
      <c r="O62" s="44" t="s">
        <v>69</v>
      </c>
      <c r="P62" s="16" t="s">
        <v>66</v>
      </c>
      <c r="Q62" s="240">
        <v>2.0</v>
      </c>
      <c r="R62" s="18" t="s">
        <v>67</v>
      </c>
      <c r="S62" s="19">
        <v>2024.0</v>
      </c>
      <c r="T62" s="20" t="s">
        <v>68</v>
      </c>
      <c r="U62" s="19">
        <v>100.0</v>
      </c>
      <c r="V62" s="19">
        <v>2024.0</v>
      </c>
      <c r="W62" s="19">
        <v>83.07</v>
      </c>
      <c r="X62" s="5">
        <v>25.0</v>
      </c>
      <c r="Y62" s="19">
        <v>2.5</v>
      </c>
      <c r="Z62" s="19">
        <v>6.0</v>
      </c>
      <c r="AA62" s="19">
        <v>7.8</v>
      </c>
      <c r="AB62" s="22">
        <v>0.0</v>
      </c>
      <c r="AC62" s="23" t="s">
        <v>69</v>
      </c>
      <c r="AD62" s="24" t="s">
        <v>70</v>
      </c>
      <c r="AE62" s="47">
        <v>2220.0</v>
      </c>
      <c r="AF62" s="22" t="s">
        <v>71</v>
      </c>
      <c r="AG62" s="22">
        <v>335.4</v>
      </c>
      <c r="AH62" s="22">
        <v>10.7</v>
      </c>
      <c r="AI62" s="22">
        <v>0.0</v>
      </c>
      <c r="AJ62" s="26" t="s">
        <v>72</v>
      </c>
      <c r="AK62" s="27">
        <v>0.0</v>
      </c>
      <c r="AL62" s="23" t="s">
        <v>69</v>
      </c>
      <c r="AM62" s="23" t="s">
        <v>69</v>
      </c>
      <c r="AN62" s="23" t="s">
        <v>69</v>
      </c>
      <c r="AO62" s="23" t="s">
        <v>69</v>
      </c>
      <c r="AP62" s="23" t="s">
        <v>69</v>
      </c>
      <c r="AQ62" s="23" t="s">
        <v>69</v>
      </c>
      <c r="AR62" s="23" t="s">
        <v>69</v>
      </c>
      <c r="AS62" s="23" t="s">
        <v>69</v>
      </c>
      <c r="AT62" s="23" t="s">
        <v>69</v>
      </c>
      <c r="AU62" s="23" t="s">
        <v>69</v>
      </c>
      <c r="AV62" s="23" t="s">
        <v>69</v>
      </c>
      <c r="AW62" s="23" t="s">
        <v>69</v>
      </c>
      <c r="AX62" s="23" t="s">
        <v>69</v>
      </c>
      <c r="AY62" s="47">
        <v>0.0</v>
      </c>
      <c r="AZ62" s="48" t="s">
        <v>118</v>
      </c>
      <c r="BA62" s="49">
        <v>1.0</v>
      </c>
      <c r="BB62" s="50">
        <v>10.0</v>
      </c>
      <c r="BC62" s="51" t="s">
        <v>72</v>
      </c>
      <c r="BD62" s="52">
        <v>0.0</v>
      </c>
      <c r="BE62" s="14" t="s">
        <v>319</v>
      </c>
      <c r="BF62" s="133">
        <v>80.0</v>
      </c>
      <c r="BG62" s="134">
        <v>35.0</v>
      </c>
      <c r="BH62" s="184" t="s">
        <v>69</v>
      </c>
      <c r="BI62" s="144">
        <v>71450.0</v>
      </c>
      <c r="BJ62" s="137"/>
      <c r="BK62" s="137" t="s">
        <v>69</v>
      </c>
      <c r="BL62" s="137"/>
      <c r="BM62" s="137"/>
      <c r="BN62" s="137"/>
      <c r="BO62" s="137"/>
      <c r="BP62" s="137"/>
      <c r="BQ62" s="137"/>
      <c r="BR62" s="137"/>
      <c r="BS62" s="185"/>
      <c r="BT62" s="186"/>
      <c r="BU62" s="186"/>
      <c r="BV62" s="187"/>
      <c r="BW62" s="188"/>
      <c r="BX62" s="189"/>
      <c r="BY62" s="189"/>
      <c r="BZ62" s="189"/>
      <c r="CA62" s="189"/>
      <c r="CB62" s="189"/>
      <c r="CC62" s="189"/>
      <c r="CD62" s="189">
        <v>858145.0</v>
      </c>
      <c r="CE62" s="189">
        <v>786695.0</v>
      </c>
      <c r="CF62" s="189"/>
      <c r="CG62" s="189"/>
      <c r="CH62" s="190"/>
    </row>
    <row r="63" ht="14.25" customHeight="1">
      <c r="A63" s="11" t="s">
        <v>120</v>
      </c>
      <c r="B63" s="43"/>
      <c r="C63" s="13"/>
      <c r="D63" s="240">
        <v>2.25</v>
      </c>
      <c r="E63" s="168" t="s">
        <v>320</v>
      </c>
      <c r="F63" s="5" t="s">
        <v>121</v>
      </c>
      <c r="G63" s="13" t="s">
        <v>115</v>
      </c>
      <c r="H63" s="11" t="s">
        <v>320</v>
      </c>
      <c r="I63" s="13" t="s">
        <v>62</v>
      </c>
      <c r="J63" s="13" t="s">
        <v>63</v>
      </c>
      <c r="K63" s="15">
        <v>8000.0</v>
      </c>
      <c r="L63" s="5" t="s">
        <v>116</v>
      </c>
      <c r="M63" s="43" t="s">
        <v>84</v>
      </c>
      <c r="N63" s="19">
        <v>100.0</v>
      </c>
      <c r="O63" s="44" t="s">
        <v>69</v>
      </c>
      <c r="P63" s="16" t="s">
        <v>66</v>
      </c>
      <c r="Q63" s="240">
        <v>2.25</v>
      </c>
      <c r="R63" s="18" t="s">
        <v>67</v>
      </c>
      <c r="S63" s="19">
        <v>2024.0</v>
      </c>
      <c r="T63" s="20" t="s">
        <v>68</v>
      </c>
      <c r="U63" s="19">
        <v>100.0</v>
      </c>
      <c r="V63" s="19">
        <v>2024.0</v>
      </c>
      <c r="W63" s="19">
        <v>83.07</v>
      </c>
      <c r="X63" s="5">
        <v>25.0</v>
      </c>
      <c r="Y63" s="19">
        <v>2.5</v>
      </c>
      <c r="Z63" s="19">
        <v>6.0</v>
      </c>
      <c r="AA63" s="19">
        <v>7.8</v>
      </c>
      <c r="AB63" s="22">
        <v>0.0</v>
      </c>
      <c r="AC63" s="23" t="s">
        <v>69</v>
      </c>
      <c r="AD63" s="24" t="s">
        <v>70</v>
      </c>
      <c r="AE63" s="47">
        <v>2220.0</v>
      </c>
      <c r="AF63" s="22" t="s">
        <v>71</v>
      </c>
      <c r="AG63" s="22">
        <v>335.4</v>
      </c>
      <c r="AH63" s="22">
        <v>10.7</v>
      </c>
      <c r="AI63" s="22">
        <v>0.0</v>
      </c>
      <c r="AJ63" s="26" t="s">
        <v>72</v>
      </c>
      <c r="AK63" s="27">
        <v>0.0</v>
      </c>
      <c r="AL63" s="23" t="s">
        <v>69</v>
      </c>
      <c r="AM63" s="23" t="s">
        <v>69</v>
      </c>
      <c r="AN63" s="23" t="s">
        <v>69</v>
      </c>
      <c r="AO63" s="23" t="s">
        <v>69</v>
      </c>
      <c r="AP63" s="23" t="s">
        <v>69</v>
      </c>
      <c r="AQ63" s="23" t="s">
        <v>69</v>
      </c>
      <c r="AR63" s="23" t="s">
        <v>69</v>
      </c>
      <c r="AS63" s="23" t="s">
        <v>69</v>
      </c>
      <c r="AT63" s="23" t="s">
        <v>69</v>
      </c>
      <c r="AU63" s="23" t="s">
        <v>69</v>
      </c>
      <c r="AV63" s="23" t="s">
        <v>69</v>
      </c>
      <c r="AW63" s="23" t="s">
        <v>69</v>
      </c>
      <c r="AX63" s="23" t="s">
        <v>69</v>
      </c>
      <c r="AY63" s="47">
        <v>0.0</v>
      </c>
      <c r="AZ63" s="48" t="s">
        <v>118</v>
      </c>
      <c r="BA63" s="49">
        <v>1.0</v>
      </c>
      <c r="BB63" s="50">
        <v>10.0</v>
      </c>
      <c r="BC63" s="51" t="s">
        <v>72</v>
      </c>
      <c r="BD63" s="52">
        <v>0.0</v>
      </c>
      <c r="BE63" s="14" t="s">
        <v>321</v>
      </c>
      <c r="BF63" s="133">
        <v>80.0</v>
      </c>
      <c r="BG63" s="134">
        <v>35.0</v>
      </c>
      <c r="BH63" s="184" t="s">
        <v>69</v>
      </c>
      <c r="BI63" s="144">
        <v>136932.0</v>
      </c>
      <c r="BJ63" s="137"/>
      <c r="BK63" s="137" t="s">
        <v>69</v>
      </c>
      <c r="BL63" s="137"/>
      <c r="BM63" s="137"/>
      <c r="BN63" s="137"/>
      <c r="BO63" s="137"/>
      <c r="BP63" s="137"/>
      <c r="BQ63" s="137"/>
      <c r="BR63" s="137"/>
      <c r="BS63" s="185"/>
      <c r="BT63" s="186"/>
      <c r="BU63" s="186"/>
      <c r="BV63" s="187"/>
      <c r="BW63" s="188"/>
      <c r="BX63" s="189"/>
      <c r="BY63" s="189"/>
      <c r="BZ63" s="189"/>
      <c r="CA63" s="189"/>
      <c r="CB63" s="189"/>
      <c r="CC63" s="189"/>
      <c r="CD63" s="189">
        <v>923627.0</v>
      </c>
      <c r="CE63" s="189">
        <v>786695.0</v>
      </c>
      <c r="CF63" s="189"/>
      <c r="CG63" s="189"/>
      <c r="CH63" s="190"/>
    </row>
    <row r="64" ht="14.25" customHeight="1">
      <c r="A64" s="11" t="s">
        <v>120</v>
      </c>
      <c r="B64" s="43"/>
      <c r="C64" s="13"/>
      <c r="D64" s="240">
        <v>2.5</v>
      </c>
      <c r="E64" s="168" t="s">
        <v>322</v>
      </c>
      <c r="F64" s="5" t="s">
        <v>121</v>
      </c>
      <c r="G64" s="13" t="s">
        <v>115</v>
      </c>
      <c r="H64" s="11" t="s">
        <v>322</v>
      </c>
      <c r="I64" s="13" t="s">
        <v>62</v>
      </c>
      <c r="J64" s="13" t="s">
        <v>63</v>
      </c>
      <c r="K64" s="15">
        <v>8000.0</v>
      </c>
      <c r="L64" s="5" t="s">
        <v>116</v>
      </c>
      <c r="M64" s="43" t="s">
        <v>84</v>
      </c>
      <c r="N64" s="19">
        <v>100.0</v>
      </c>
      <c r="O64" s="44" t="s">
        <v>69</v>
      </c>
      <c r="P64" s="16" t="s">
        <v>66</v>
      </c>
      <c r="Q64" s="240">
        <v>2.5</v>
      </c>
      <c r="R64" s="18" t="s">
        <v>67</v>
      </c>
      <c r="S64" s="19">
        <v>2024.0</v>
      </c>
      <c r="T64" s="20" t="s">
        <v>68</v>
      </c>
      <c r="U64" s="19">
        <v>100.0</v>
      </c>
      <c r="V64" s="19">
        <v>2024.0</v>
      </c>
      <c r="W64" s="19">
        <v>83.07</v>
      </c>
      <c r="X64" s="5">
        <v>25.0</v>
      </c>
      <c r="Y64" s="19">
        <v>2.5</v>
      </c>
      <c r="Z64" s="19">
        <v>6.0</v>
      </c>
      <c r="AA64" s="19">
        <v>7.8</v>
      </c>
      <c r="AB64" s="22">
        <v>0.0</v>
      </c>
      <c r="AC64" s="23" t="s">
        <v>69</v>
      </c>
      <c r="AD64" s="24" t="s">
        <v>70</v>
      </c>
      <c r="AE64" s="47">
        <v>2220.0</v>
      </c>
      <c r="AF64" s="22" t="s">
        <v>71</v>
      </c>
      <c r="AG64" s="22">
        <v>335.4</v>
      </c>
      <c r="AH64" s="22">
        <v>10.7</v>
      </c>
      <c r="AI64" s="22">
        <v>0.0</v>
      </c>
      <c r="AJ64" s="26" t="s">
        <v>72</v>
      </c>
      <c r="AK64" s="27">
        <v>0.0</v>
      </c>
      <c r="AL64" s="23" t="s">
        <v>69</v>
      </c>
      <c r="AM64" s="23" t="s">
        <v>69</v>
      </c>
      <c r="AN64" s="23" t="s">
        <v>69</v>
      </c>
      <c r="AO64" s="23" t="s">
        <v>69</v>
      </c>
      <c r="AP64" s="23" t="s">
        <v>69</v>
      </c>
      <c r="AQ64" s="23" t="s">
        <v>69</v>
      </c>
      <c r="AR64" s="23" t="s">
        <v>69</v>
      </c>
      <c r="AS64" s="23" t="s">
        <v>69</v>
      </c>
      <c r="AT64" s="23" t="s">
        <v>69</v>
      </c>
      <c r="AU64" s="23" t="s">
        <v>69</v>
      </c>
      <c r="AV64" s="23" t="s">
        <v>69</v>
      </c>
      <c r="AW64" s="23" t="s">
        <v>69</v>
      </c>
      <c r="AX64" s="23" t="s">
        <v>69</v>
      </c>
      <c r="AY64" s="47">
        <v>0.0</v>
      </c>
      <c r="AZ64" s="48" t="s">
        <v>118</v>
      </c>
      <c r="BA64" s="49">
        <v>1.0</v>
      </c>
      <c r="BB64" s="50">
        <v>10.0</v>
      </c>
      <c r="BC64" s="51" t="s">
        <v>72</v>
      </c>
      <c r="BD64" s="52">
        <v>0.0</v>
      </c>
      <c r="BE64" s="14" t="s">
        <v>323</v>
      </c>
      <c r="BF64" s="133">
        <v>80.0</v>
      </c>
      <c r="BG64" s="134">
        <v>35.0</v>
      </c>
      <c r="BH64" s="184" t="s">
        <v>69</v>
      </c>
      <c r="BI64" s="144">
        <v>202415.0</v>
      </c>
      <c r="BJ64" s="137"/>
      <c r="BK64" s="137" t="s">
        <v>69</v>
      </c>
      <c r="BL64" s="137"/>
      <c r="BM64" s="137"/>
      <c r="BN64" s="137"/>
      <c r="BO64" s="137"/>
      <c r="BP64" s="137"/>
      <c r="BQ64" s="137"/>
      <c r="BR64" s="137"/>
      <c r="BS64" s="185"/>
      <c r="BT64" s="186"/>
      <c r="BU64" s="186"/>
      <c r="BV64" s="187"/>
      <c r="BW64" s="188"/>
      <c r="BX64" s="189"/>
      <c r="BY64" s="189"/>
      <c r="BZ64" s="189"/>
      <c r="CA64" s="189"/>
      <c r="CB64" s="189"/>
      <c r="CC64" s="189"/>
      <c r="CD64" s="189">
        <v>989110.0</v>
      </c>
      <c r="CE64" s="189">
        <v>786695.0</v>
      </c>
      <c r="CF64" s="189"/>
      <c r="CG64" s="189"/>
      <c r="CH64" s="190"/>
    </row>
    <row r="65" ht="14.25" customHeight="1">
      <c r="A65" s="11" t="s">
        <v>120</v>
      </c>
      <c r="B65" s="43"/>
      <c r="C65" s="13"/>
      <c r="D65" s="240">
        <v>2.75</v>
      </c>
      <c r="E65" s="168" t="s">
        <v>324</v>
      </c>
      <c r="F65" s="5" t="s">
        <v>121</v>
      </c>
      <c r="G65" s="13" t="s">
        <v>115</v>
      </c>
      <c r="H65" s="11" t="s">
        <v>324</v>
      </c>
      <c r="I65" s="13" t="s">
        <v>62</v>
      </c>
      <c r="J65" s="13" t="s">
        <v>63</v>
      </c>
      <c r="K65" s="15">
        <v>8000.0</v>
      </c>
      <c r="L65" s="5" t="s">
        <v>116</v>
      </c>
      <c r="M65" s="43" t="s">
        <v>84</v>
      </c>
      <c r="N65" s="19">
        <v>100.0</v>
      </c>
      <c r="O65" s="44" t="s">
        <v>69</v>
      </c>
      <c r="P65" s="16" t="s">
        <v>66</v>
      </c>
      <c r="Q65" s="240">
        <v>2.75</v>
      </c>
      <c r="R65" s="18" t="s">
        <v>67</v>
      </c>
      <c r="S65" s="19">
        <v>2024.0</v>
      </c>
      <c r="T65" s="20" t="s">
        <v>68</v>
      </c>
      <c r="U65" s="19">
        <v>100.0</v>
      </c>
      <c r="V65" s="19">
        <v>2024.0</v>
      </c>
      <c r="W65" s="19">
        <v>83.07</v>
      </c>
      <c r="X65" s="5">
        <v>25.0</v>
      </c>
      <c r="Y65" s="19">
        <v>2.5</v>
      </c>
      <c r="Z65" s="19">
        <v>6.0</v>
      </c>
      <c r="AA65" s="19">
        <v>7.8</v>
      </c>
      <c r="AB65" s="22">
        <v>0.0</v>
      </c>
      <c r="AC65" s="23" t="s">
        <v>69</v>
      </c>
      <c r="AD65" s="24" t="s">
        <v>70</v>
      </c>
      <c r="AE65" s="47">
        <v>2220.0</v>
      </c>
      <c r="AF65" s="22" t="s">
        <v>71</v>
      </c>
      <c r="AG65" s="22">
        <v>335.4</v>
      </c>
      <c r="AH65" s="22">
        <v>10.7</v>
      </c>
      <c r="AI65" s="22">
        <v>0.0</v>
      </c>
      <c r="AJ65" s="26" t="s">
        <v>72</v>
      </c>
      <c r="AK65" s="27">
        <v>0.0</v>
      </c>
      <c r="AL65" s="23" t="s">
        <v>69</v>
      </c>
      <c r="AM65" s="23" t="s">
        <v>69</v>
      </c>
      <c r="AN65" s="23" t="s">
        <v>69</v>
      </c>
      <c r="AO65" s="23" t="s">
        <v>69</v>
      </c>
      <c r="AP65" s="23" t="s">
        <v>69</v>
      </c>
      <c r="AQ65" s="23" t="s">
        <v>69</v>
      </c>
      <c r="AR65" s="23" t="s">
        <v>69</v>
      </c>
      <c r="AS65" s="23" t="s">
        <v>69</v>
      </c>
      <c r="AT65" s="23" t="s">
        <v>69</v>
      </c>
      <c r="AU65" s="23" t="s">
        <v>69</v>
      </c>
      <c r="AV65" s="23" t="s">
        <v>69</v>
      </c>
      <c r="AW65" s="23" t="s">
        <v>69</v>
      </c>
      <c r="AX65" s="23" t="s">
        <v>69</v>
      </c>
      <c r="AY65" s="47">
        <v>0.0</v>
      </c>
      <c r="AZ65" s="48" t="s">
        <v>118</v>
      </c>
      <c r="BA65" s="49">
        <v>1.0</v>
      </c>
      <c r="BB65" s="50">
        <v>10.0</v>
      </c>
      <c r="BC65" s="51" t="s">
        <v>72</v>
      </c>
      <c r="BD65" s="52">
        <v>0.0</v>
      </c>
      <c r="BE65" s="14" t="s">
        <v>325</v>
      </c>
      <c r="BF65" s="236">
        <v>80.0</v>
      </c>
      <c r="BG65" s="237">
        <v>35.0</v>
      </c>
      <c r="BH65" s="238" t="s">
        <v>69</v>
      </c>
      <c r="BI65" s="144">
        <v>267897.0</v>
      </c>
      <c r="BJ65" s="137"/>
      <c r="BK65" s="137" t="s">
        <v>69</v>
      </c>
      <c r="BL65" s="137"/>
      <c r="BM65" s="137"/>
      <c r="BN65" s="137"/>
      <c r="BO65" s="137"/>
      <c r="BP65" s="137"/>
      <c r="BQ65" s="137"/>
      <c r="BR65" s="137"/>
      <c r="BS65" s="185"/>
      <c r="BT65" s="186"/>
      <c r="BU65" s="186"/>
      <c r="BV65" s="187"/>
      <c r="BW65" s="188"/>
      <c r="BX65" s="189"/>
      <c r="BY65" s="189"/>
      <c r="BZ65" s="189"/>
      <c r="CA65" s="189"/>
      <c r="CB65" s="189"/>
      <c r="CC65" s="189"/>
      <c r="CD65" s="189">
        <v>1054592.0</v>
      </c>
      <c r="CE65" s="189">
        <v>786695.0</v>
      </c>
      <c r="CF65" s="189"/>
      <c r="CG65" s="189"/>
      <c r="CH65" s="190"/>
    </row>
    <row r="66" ht="14.25" customHeight="1">
      <c r="AO66" s="5"/>
      <c r="AP66" s="5"/>
      <c r="BC66" s="13"/>
      <c r="BD66" s="13"/>
    </row>
    <row r="67" ht="14.25" customHeight="1">
      <c r="A67" s="11" t="s">
        <v>123</v>
      </c>
      <c r="C67" s="39"/>
      <c r="D67" s="240">
        <v>1.5</v>
      </c>
      <c r="E67" s="76" t="s">
        <v>293</v>
      </c>
      <c r="F67" s="5" t="s">
        <v>121</v>
      </c>
      <c r="G67" s="13" t="s">
        <v>115</v>
      </c>
      <c r="H67" s="11" t="s">
        <v>326</v>
      </c>
      <c r="I67" s="5" t="s">
        <v>62</v>
      </c>
      <c r="J67" s="13" t="s">
        <v>63</v>
      </c>
      <c r="K67" s="15">
        <v>8000.0</v>
      </c>
      <c r="L67" s="5" t="s">
        <v>116</v>
      </c>
      <c r="M67" s="39" t="s">
        <v>85</v>
      </c>
      <c r="N67" s="74" t="s">
        <v>69</v>
      </c>
      <c r="O67" s="5">
        <v>0.06713</v>
      </c>
      <c r="P67" s="16" t="s">
        <v>66</v>
      </c>
      <c r="Q67" s="240">
        <v>1.5</v>
      </c>
      <c r="R67" s="18" t="s">
        <v>67</v>
      </c>
      <c r="S67" s="19">
        <v>2024.0</v>
      </c>
      <c r="T67" s="76" t="s">
        <v>68</v>
      </c>
      <c r="U67" s="5">
        <v>100.0</v>
      </c>
      <c r="V67" s="19">
        <v>2024.0</v>
      </c>
      <c r="W67" s="5">
        <v>83.07</v>
      </c>
      <c r="X67" s="5">
        <v>25.0</v>
      </c>
      <c r="Y67" s="5">
        <v>2.5</v>
      </c>
      <c r="Z67" s="19">
        <v>6.0</v>
      </c>
      <c r="AA67" s="19">
        <v>7.8</v>
      </c>
      <c r="AB67" s="22">
        <v>0.0</v>
      </c>
      <c r="AC67" s="23" t="s">
        <v>69</v>
      </c>
      <c r="AD67" s="24" t="s">
        <v>70</v>
      </c>
      <c r="AE67" s="47">
        <v>2220.0</v>
      </c>
      <c r="AF67" s="22" t="s">
        <v>71</v>
      </c>
      <c r="AG67" s="22">
        <v>335.4</v>
      </c>
      <c r="AH67" s="22">
        <v>10.7</v>
      </c>
      <c r="AI67" s="22">
        <v>0.0</v>
      </c>
      <c r="AJ67" s="26" t="s">
        <v>72</v>
      </c>
      <c r="AK67" s="27">
        <v>0.0</v>
      </c>
      <c r="AL67" s="23" t="s">
        <v>69</v>
      </c>
      <c r="AM67" s="23" t="s">
        <v>69</v>
      </c>
      <c r="AN67" s="23" t="s">
        <v>69</v>
      </c>
      <c r="AO67" s="23" t="s">
        <v>69</v>
      </c>
      <c r="AP67" s="23" t="s">
        <v>69</v>
      </c>
      <c r="AQ67" s="23" t="s">
        <v>69</v>
      </c>
      <c r="AR67" s="23" t="s">
        <v>69</v>
      </c>
      <c r="AS67" s="23" t="s">
        <v>69</v>
      </c>
      <c r="AT67" s="23" t="s">
        <v>69</v>
      </c>
      <c r="AU67" s="23" t="s">
        <v>69</v>
      </c>
      <c r="AV67" s="23" t="s">
        <v>69</v>
      </c>
      <c r="AW67" s="23" t="s">
        <v>69</v>
      </c>
      <c r="AX67" s="23" t="s">
        <v>69</v>
      </c>
      <c r="AY67" s="47">
        <v>0.0</v>
      </c>
      <c r="AZ67" s="77" t="s">
        <v>118</v>
      </c>
      <c r="BA67" s="49">
        <v>1.0</v>
      </c>
      <c r="BB67" s="50">
        <v>10.0</v>
      </c>
      <c r="BC67" s="51" t="s">
        <v>72</v>
      </c>
      <c r="BD67" s="52">
        <v>0.0</v>
      </c>
      <c r="BE67" s="76" t="s">
        <v>293</v>
      </c>
      <c r="BF67" s="133"/>
      <c r="BG67" s="134">
        <v>35.0</v>
      </c>
      <c r="BH67" s="184" t="s">
        <v>69</v>
      </c>
      <c r="BI67" s="144">
        <v>-167512.0</v>
      </c>
      <c r="BJ67" s="137"/>
      <c r="BK67" s="137" t="s">
        <v>69</v>
      </c>
      <c r="BL67" s="137"/>
      <c r="BM67" s="137"/>
      <c r="BN67" s="137"/>
      <c r="BO67" s="137"/>
      <c r="BP67" s="137"/>
      <c r="BQ67" s="137"/>
      <c r="BR67" s="137"/>
      <c r="BS67" s="185"/>
      <c r="BT67" s="186"/>
      <c r="BU67" s="186"/>
      <c r="BV67" s="187"/>
      <c r="BW67" s="188"/>
      <c r="BX67" s="189"/>
      <c r="BY67" s="189"/>
      <c r="BZ67" s="189"/>
      <c r="CA67" s="189"/>
      <c r="CB67" s="189"/>
      <c r="CC67" s="189"/>
      <c r="CD67" s="189">
        <v>727179.0</v>
      </c>
      <c r="CE67" s="189">
        <v>894691.0</v>
      </c>
      <c r="CF67" s="189"/>
      <c r="CG67" s="189"/>
      <c r="CH67" s="190"/>
    </row>
    <row r="68" ht="14.25" customHeight="1">
      <c r="A68" s="11" t="s">
        <v>123</v>
      </c>
      <c r="C68" s="39"/>
      <c r="D68" s="240">
        <v>1.75</v>
      </c>
      <c r="E68" s="5" t="s">
        <v>327</v>
      </c>
      <c r="F68" s="5" t="s">
        <v>121</v>
      </c>
      <c r="G68" s="13" t="s">
        <v>115</v>
      </c>
      <c r="H68" s="11" t="s">
        <v>327</v>
      </c>
      <c r="I68" s="5" t="s">
        <v>62</v>
      </c>
      <c r="J68" s="13" t="s">
        <v>63</v>
      </c>
      <c r="K68" s="15">
        <v>8000.0</v>
      </c>
      <c r="L68" s="5" t="s">
        <v>116</v>
      </c>
      <c r="M68" s="39" t="s">
        <v>85</v>
      </c>
      <c r="N68" s="74" t="s">
        <v>69</v>
      </c>
      <c r="O68" s="5">
        <v>0.06713</v>
      </c>
      <c r="P68" s="16" t="s">
        <v>66</v>
      </c>
      <c r="Q68" s="240">
        <v>1.75</v>
      </c>
      <c r="R68" s="18" t="s">
        <v>67</v>
      </c>
      <c r="S68" s="19">
        <v>2024.0</v>
      </c>
      <c r="T68" s="76" t="s">
        <v>68</v>
      </c>
      <c r="U68" s="5">
        <v>100.0</v>
      </c>
      <c r="V68" s="19">
        <v>2024.0</v>
      </c>
      <c r="W68" s="5">
        <v>83.07</v>
      </c>
      <c r="X68" s="5">
        <v>25.0</v>
      </c>
      <c r="Y68" s="5">
        <v>2.5</v>
      </c>
      <c r="Z68" s="19">
        <v>6.0</v>
      </c>
      <c r="AA68" s="19">
        <v>7.8</v>
      </c>
      <c r="AB68" s="22">
        <v>0.0</v>
      </c>
      <c r="AC68" s="23" t="s">
        <v>69</v>
      </c>
      <c r="AD68" s="24" t="s">
        <v>70</v>
      </c>
      <c r="AE68" s="47">
        <v>2220.0</v>
      </c>
      <c r="AF68" s="22" t="s">
        <v>71</v>
      </c>
      <c r="AG68" s="22">
        <v>335.4</v>
      </c>
      <c r="AH68" s="22">
        <v>10.7</v>
      </c>
      <c r="AI68" s="22">
        <v>0.0</v>
      </c>
      <c r="AJ68" s="26" t="s">
        <v>72</v>
      </c>
      <c r="AK68" s="27">
        <v>0.0</v>
      </c>
      <c r="AL68" s="23" t="s">
        <v>69</v>
      </c>
      <c r="AM68" s="23" t="s">
        <v>69</v>
      </c>
      <c r="AN68" s="23" t="s">
        <v>69</v>
      </c>
      <c r="AO68" s="23" t="s">
        <v>69</v>
      </c>
      <c r="AP68" s="23" t="s">
        <v>69</v>
      </c>
      <c r="AQ68" s="23" t="s">
        <v>69</v>
      </c>
      <c r="AR68" s="23" t="s">
        <v>69</v>
      </c>
      <c r="AS68" s="23" t="s">
        <v>69</v>
      </c>
      <c r="AT68" s="23" t="s">
        <v>69</v>
      </c>
      <c r="AU68" s="23" t="s">
        <v>69</v>
      </c>
      <c r="AV68" s="23" t="s">
        <v>69</v>
      </c>
      <c r="AW68" s="23" t="s">
        <v>69</v>
      </c>
      <c r="AX68" s="23" t="s">
        <v>69</v>
      </c>
      <c r="AY68" s="47">
        <v>0.0</v>
      </c>
      <c r="AZ68" s="77" t="s">
        <v>118</v>
      </c>
      <c r="BA68" s="49">
        <v>1.0</v>
      </c>
      <c r="BB68" s="50">
        <v>10.0</v>
      </c>
      <c r="BC68" s="51" t="s">
        <v>72</v>
      </c>
      <c r="BD68" s="52">
        <v>0.0</v>
      </c>
      <c r="BE68" s="168" t="s">
        <v>294</v>
      </c>
      <c r="BF68" s="133"/>
      <c r="BG68" s="134">
        <v>35.0</v>
      </c>
      <c r="BH68" s="184" t="s">
        <v>69</v>
      </c>
      <c r="BI68" s="144">
        <v>-102029.0</v>
      </c>
      <c r="BJ68" s="137"/>
      <c r="BK68" s="137" t="s">
        <v>69</v>
      </c>
      <c r="BL68" s="137"/>
      <c r="BM68" s="137"/>
      <c r="BN68" s="137"/>
      <c r="BO68" s="137"/>
      <c r="BP68" s="137"/>
      <c r="BQ68" s="137"/>
      <c r="BR68" s="137"/>
      <c r="BS68" s="185"/>
      <c r="BT68" s="186"/>
      <c r="BU68" s="186"/>
      <c r="BV68" s="187"/>
      <c r="BW68" s="188"/>
      <c r="BX68" s="189"/>
      <c r="BY68" s="189"/>
      <c r="BZ68" s="189"/>
      <c r="CA68" s="189"/>
      <c r="CB68" s="189"/>
      <c r="CC68" s="189"/>
      <c r="CD68" s="189">
        <v>792662.0</v>
      </c>
      <c r="CE68" s="189">
        <v>894691.0</v>
      </c>
      <c r="CF68" s="189"/>
      <c r="CG68" s="189"/>
      <c r="CH68" s="190"/>
    </row>
    <row r="69" ht="14.25" customHeight="1">
      <c r="A69" s="11" t="s">
        <v>123</v>
      </c>
      <c r="C69" s="39"/>
      <c r="D69" s="240">
        <v>2.0</v>
      </c>
      <c r="E69" s="5" t="s">
        <v>328</v>
      </c>
      <c r="F69" s="5" t="s">
        <v>121</v>
      </c>
      <c r="G69" s="13" t="s">
        <v>115</v>
      </c>
      <c r="H69" s="11" t="s">
        <v>328</v>
      </c>
      <c r="I69" s="5" t="s">
        <v>62</v>
      </c>
      <c r="J69" s="13" t="s">
        <v>63</v>
      </c>
      <c r="K69" s="15">
        <v>8000.0</v>
      </c>
      <c r="L69" s="5" t="s">
        <v>116</v>
      </c>
      <c r="M69" s="39" t="s">
        <v>85</v>
      </c>
      <c r="N69" s="74" t="s">
        <v>69</v>
      </c>
      <c r="O69" s="5">
        <v>0.06713</v>
      </c>
      <c r="P69" s="16" t="s">
        <v>66</v>
      </c>
      <c r="Q69" s="240">
        <v>2.0</v>
      </c>
      <c r="R69" s="18" t="s">
        <v>67</v>
      </c>
      <c r="S69" s="19">
        <v>2024.0</v>
      </c>
      <c r="T69" s="76" t="s">
        <v>68</v>
      </c>
      <c r="U69" s="5">
        <v>100.0</v>
      </c>
      <c r="V69" s="19">
        <v>2024.0</v>
      </c>
      <c r="W69" s="5">
        <v>83.07</v>
      </c>
      <c r="X69" s="5">
        <v>25.0</v>
      </c>
      <c r="Y69" s="5">
        <v>2.5</v>
      </c>
      <c r="Z69" s="19">
        <v>6.0</v>
      </c>
      <c r="AA69" s="19">
        <v>7.8</v>
      </c>
      <c r="AB69" s="22">
        <v>0.0</v>
      </c>
      <c r="AC69" s="23" t="s">
        <v>69</v>
      </c>
      <c r="AD69" s="24" t="s">
        <v>70</v>
      </c>
      <c r="AE69" s="47">
        <v>2220.0</v>
      </c>
      <c r="AF69" s="22" t="s">
        <v>71</v>
      </c>
      <c r="AG69" s="22">
        <v>335.4</v>
      </c>
      <c r="AH69" s="22">
        <v>10.7</v>
      </c>
      <c r="AI69" s="22">
        <v>0.0</v>
      </c>
      <c r="AJ69" s="26" t="s">
        <v>72</v>
      </c>
      <c r="AK69" s="27">
        <v>0.0</v>
      </c>
      <c r="AL69" s="23" t="s">
        <v>69</v>
      </c>
      <c r="AM69" s="23" t="s">
        <v>69</v>
      </c>
      <c r="AN69" s="23" t="s">
        <v>69</v>
      </c>
      <c r="AO69" s="23" t="s">
        <v>69</v>
      </c>
      <c r="AP69" s="23" t="s">
        <v>69</v>
      </c>
      <c r="AQ69" s="23" t="s">
        <v>69</v>
      </c>
      <c r="AR69" s="23" t="s">
        <v>69</v>
      </c>
      <c r="AS69" s="23" t="s">
        <v>69</v>
      </c>
      <c r="AT69" s="23" t="s">
        <v>69</v>
      </c>
      <c r="AU69" s="23" t="s">
        <v>69</v>
      </c>
      <c r="AV69" s="23" t="s">
        <v>69</v>
      </c>
      <c r="AW69" s="23" t="s">
        <v>69</v>
      </c>
      <c r="AX69" s="23" t="s">
        <v>69</v>
      </c>
      <c r="AY69" s="47">
        <v>0.0</v>
      </c>
      <c r="AZ69" s="77" t="s">
        <v>118</v>
      </c>
      <c r="BA69" s="49">
        <v>1.0</v>
      </c>
      <c r="BB69" s="50">
        <v>10.0</v>
      </c>
      <c r="BC69" s="51" t="s">
        <v>72</v>
      </c>
      <c r="BD69" s="52">
        <v>0.0</v>
      </c>
      <c r="BE69" s="168" t="s">
        <v>295</v>
      </c>
      <c r="BF69" s="133"/>
      <c r="BG69" s="134">
        <v>35.0</v>
      </c>
      <c r="BH69" s="184" t="s">
        <v>69</v>
      </c>
      <c r="BI69" s="144">
        <v>-36546.0</v>
      </c>
      <c r="BJ69" s="137"/>
      <c r="BK69" s="137" t="s">
        <v>69</v>
      </c>
      <c r="BL69" s="137"/>
      <c r="BM69" s="137"/>
      <c r="BN69" s="137"/>
      <c r="BO69" s="137"/>
      <c r="BP69" s="137"/>
      <c r="BQ69" s="137"/>
      <c r="BR69" s="137"/>
      <c r="BS69" s="185"/>
      <c r="BT69" s="186"/>
      <c r="BU69" s="186"/>
      <c r="BV69" s="187"/>
      <c r="BW69" s="188"/>
      <c r="BX69" s="189"/>
      <c r="BY69" s="189"/>
      <c r="BZ69" s="189"/>
      <c r="CA69" s="189"/>
      <c r="CB69" s="189"/>
      <c r="CC69" s="189"/>
      <c r="CD69" s="189">
        <v>858145.0</v>
      </c>
      <c r="CE69" s="189">
        <v>894691.0</v>
      </c>
      <c r="CF69" s="189"/>
      <c r="CG69" s="189"/>
      <c r="CH69" s="190"/>
    </row>
    <row r="70" ht="14.25" customHeight="1">
      <c r="A70" s="11" t="s">
        <v>123</v>
      </c>
      <c r="C70" s="39"/>
      <c r="D70" s="240">
        <v>2.25</v>
      </c>
      <c r="E70" s="5" t="s">
        <v>329</v>
      </c>
      <c r="F70" s="5" t="s">
        <v>121</v>
      </c>
      <c r="G70" s="13" t="s">
        <v>115</v>
      </c>
      <c r="H70" s="11" t="s">
        <v>329</v>
      </c>
      <c r="I70" s="5" t="s">
        <v>62</v>
      </c>
      <c r="J70" s="13" t="s">
        <v>63</v>
      </c>
      <c r="K70" s="15">
        <v>8000.0</v>
      </c>
      <c r="L70" s="5" t="s">
        <v>116</v>
      </c>
      <c r="M70" s="39" t="s">
        <v>85</v>
      </c>
      <c r="N70" s="74" t="s">
        <v>69</v>
      </c>
      <c r="O70" s="5">
        <v>0.06713</v>
      </c>
      <c r="P70" s="16" t="s">
        <v>66</v>
      </c>
      <c r="Q70" s="240">
        <v>2.25</v>
      </c>
      <c r="R70" s="18" t="s">
        <v>67</v>
      </c>
      <c r="S70" s="19">
        <v>2024.0</v>
      </c>
      <c r="T70" s="76" t="s">
        <v>68</v>
      </c>
      <c r="U70" s="5">
        <v>100.0</v>
      </c>
      <c r="V70" s="19">
        <v>2024.0</v>
      </c>
      <c r="W70" s="5">
        <v>83.07</v>
      </c>
      <c r="X70" s="5">
        <v>25.0</v>
      </c>
      <c r="Y70" s="5">
        <v>2.5</v>
      </c>
      <c r="Z70" s="19">
        <v>6.0</v>
      </c>
      <c r="AA70" s="19">
        <v>7.8</v>
      </c>
      <c r="AB70" s="22">
        <v>0.0</v>
      </c>
      <c r="AC70" s="23" t="s">
        <v>69</v>
      </c>
      <c r="AD70" s="24" t="s">
        <v>70</v>
      </c>
      <c r="AE70" s="47">
        <v>2220.0</v>
      </c>
      <c r="AF70" s="22" t="s">
        <v>71</v>
      </c>
      <c r="AG70" s="22">
        <v>335.4</v>
      </c>
      <c r="AH70" s="22">
        <v>10.7</v>
      </c>
      <c r="AI70" s="22">
        <v>0.0</v>
      </c>
      <c r="AJ70" s="26" t="s">
        <v>72</v>
      </c>
      <c r="AK70" s="27">
        <v>0.0</v>
      </c>
      <c r="AL70" s="23" t="s">
        <v>69</v>
      </c>
      <c r="AM70" s="23" t="s">
        <v>69</v>
      </c>
      <c r="AN70" s="23" t="s">
        <v>69</v>
      </c>
      <c r="AO70" s="23" t="s">
        <v>69</v>
      </c>
      <c r="AP70" s="23" t="s">
        <v>69</v>
      </c>
      <c r="AQ70" s="23" t="s">
        <v>69</v>
      </c>
      <c r="AR70" s="23" t="s">
        <v>69</v>
      </c>
      <c r="AS70" s="23" t="s">
        <v>69</v>
      </c>
      <c r="AT70" s="23" t="s">
        <v>69</v>
      </c>
      <c r="AU70" s="23" t="s">
        <v>69</v>
      </c>
      <c r="AV70" s="23" t="s">
        <v>69</v>
      </c>
      <c r="AW70" s="23" t="s">
        <v>69</v>
      </c>
      <c r="AX70" s="23" t="s">
        <v>69</v>
      </c>
      <c r="AY70" s="47">
        <v>0.0</v>
      </c>
      <c r="AZ70" s="77" t="s">
        <v>118</v>
      </c>
      <c r="BA70" s="49">
        <v>1.0</v>
      </c>
      <c r="BB70" s="50">
        <v>10.0</v>
      </c>
      <c r="BC70" s="51" t="s">
        <v>72</v>
      </c>
      <c r="BD70" s="52">
        <v>0.0</v>
      </c>
      <c r="BE70" s="168" t="s">
        <v>296</v>
      </c>
      <c r="BF70" s="133"/>
      <c r="BG70" s="134">
        <v>35.0</v>
      </c>
      <c r="BH70" s="184" t="s">
        <v>69</v>
      </c>
      <c r="BI70" s="144">
        <v>28936.0</v>
      </c>
      <c r="BJ70" s="137"/>
      <c r="BK70" s="137" t="s">
        <v>69</v>
      </c>
      <c r="BL70" s="137"/>
      <c r="BM70" s="137"/>
      <c r="BN70" s="137"/>
      <c r="BO70" s="137"/>
      <c r="BP70" s="137"/>
      <c r="BQ70" s="137"/>
      <c r="BR70" s="137"/>
      <c r="BS70" s="185"/>
      <c r="BT70" s="186"/>
      <c r="BU70" s="186"/>
      <c r="BV70" s="187"/>
      <c r="BW70" s="188"/>
      <c r="BX70" s="189"/>
      <c r="BY70" s="189"/>
      <c r="BZ70" s="189"/>
      <c r="CA70" s="189"/>
      <c r="CB70" s="189"/>
      <c r="CC70" s="189"/>
      <c r="CD70" s="189">
        <v>923627.0</v>
      </c>
      <c r="CE70" s="189">
        <v>894691.0</v>
      </c>
      <c r="CF70" s="189"/>
      <c r="CG70" s="189"/>
      <c r="CH70" s="190"/>
    </row>
    <row r="71" ht="14.25" customHeight="1">
      <c r="A71" s="11" t="s">
        <v>123</v>
      </c>
      <c r="C71" s="39"/>
      <c r="D71" s="240">
        <v>2.5</v>
      </c>
      <c r="E71" s="5" t="s">
        <v>330</v>
      </c>
      <c r="F71" s="5" t="s">
        <v>121</v>
      </c>
      <c r="G71" s="13" t="s">
        <v>115</v>
      </c>
      <c r="H71" s="11" t="s">
        <v>330</v>
      </c>
      <c r="I71" s="5" t="s">
        <v>62</v>
      </c>
      <c r="J71" s="13" t="s">
        <v>63</v>
      </c>
      <c r="K71" s="15">
        <v>8000.0</v>
      </c>
      <c r="L71" s="5" t="s">
        <v>116</v>
      </c>
      <c r="M71" s="39" t="s">
        <v>85</v>
      </c>
      <c r="N71" s="74" t="s">
        <v>69</v>
      </c>
      <c r="O71" s="5">
        <v>0.06713</v>
      </c>
      <c r="P71" s="16" t="s">
        <v>66</v>
      </c>
      <c r="Q71" s="240">
        <v>2.5</v>
      </c>
      <c r="R71" s="18" t="s">
        <v>67</v>
      </c>
      <c r="S71" s="19">
        <v>2024.0</v>
      </c>
      <c r="T71" s="76" t="s">
        <v>68</v>
      </c>
      <c r="U71" s="5">
        <v>100.0</v>
      </c>
      <c r="V71" s="19">
        <v>2024.0</v>
      </c>
      <c r="W71" s="5">
        <v>83.07</v>
      </c>
      <c r="X71" s="5">
        <v>25.0</v>
      </c>
      <c r="Y71" s="5">
        <v>2.5</v>
      </c>
      <c r="Z71" s="19">
        <v>6.0</v>
      </c>
      <c r="AA71" s="19">
        <v>7.8</v>
      </c>
      <c r="AB71" s="22">
        <v>0.0</v>
      </c>
      <c r="AC71" s="23" t="s">
        <v>69</v>
      </c>
      <c r="AD71" s="24" t="s">
        <v>70</v>
      </c>
      <c r="AE71" s="47">
        <v>2220.0</v>
      </c>
      <c r="AF71" s="22" t="s">
        <v>71</v>
      </c>
      <c r="AG71" s="22">
        <v>335.4</v>
      </c>
      <c r="AH71" s="22">
        <v>10.7</v>
      </c>
      <c r="AI71" s="22">
        <v>0.0</v>
      </c>
      <c r="AJ71" s="26" t="s">
        <v>72</v>
      </c>
      <c r="AK71" s="27">
        <v>0.0</v>
      </c>
      <c r="AL71" s="23" t="s">
        <v>69</v>
      </c>
      <c r="AM71" s="23" t="s">
        <v>69</v>
      </c>
      <c r="AN71" s="23" t="s">
        <v>69</v>
      </c>
      <c r="AO71" s="23" t="s">
        <v>69</v>
      </c>
      <c r="AP71" s="23" t="s">
        <v>69</v>
      </c>
      <c r="AQ71" s="23" t="s">
        <v>69</v>
      </c>
      <c r="AR71" s="23" t="s">
        <v>69</v>
      </c>
      <c r="AS71" s="23" t="s">
        <v>69</v>
      </c>
      <c r="AT71" s="23" t="s">
        <v>69</v>
      </c>
      <c r="AU71" s="23" t="s">
        <v>69</v>
      </c>
      <c r="AV71" s="23" t="s">
        <v>69</v>
      </c>
      <c r="AW71" s="23" t="s">
        <v>69</v>
      </c>
      <c r="AX71" s="23" t="s">
        <v>69</v>
      </c>
      <c r="AY71" s="47">
        <v>0.0</v>
      </c>
      <c r="AZ71" s="77" t="s">
        <v>118</v>
      </c>
      <c r="BA71" s="49">
        <v>1.0</v>
      </c>
      <c r="BB71" s="50">
        <v>10.0</v>
      </c>
      <c r="BC71" s="51" t="s">
        <v>72</v>
      </c>
      <c r="BD71" s="52">
        <v>0.0</v>
      </c>
      <c r="BE71" s="168" t="s">
        <v>297</v>
      </c>
      <c r="BF71" s="133"/>
      <c r="BG71" s="134">
        <v>35.0</v>
      </c>
      <c r="BH71" s="184" t="s">
        <v>69</v>
      </c>
      <c r="BI71" s="144">
        <v>94419.0</v>
      </c>
      <c r="BJ71" s="137"/>
      <c r="BK71" s="137" t="s">
        <v>69</v>
      </c>
      <c r="BL71" s="137"/>
      <c r="BM71" s="137"/>
      <c r="BN71" s="137"/>
      <c r="BO71" s="137"/>
      <c r="BP71" s="137"/>
      <c r="BQ71" s="137"/>
      <c r="BR71" s="137"/>
      <c r="BS71" s="185"/>
      <c r="BT71" s="186"/>
      <c r="BU71" s="186"/>
      <c r="BV71" s="187"/>
      <c r="BW71" s="188"/>
      <c r="BX71" s="189"/>
      <c r="BY71" s="189"/>
      <c r="BZ71" s="189"/>
      <c r="CA71" s="189"/>
      <c r="CB71" s="189"/>
      <c r="CC71" s="189"/>
      <c r="CD71" s="189">
        <v>989110.0</v>
      </c>
      <c r="CE71" s="189">
        <v>894691.0</v>
      </c>
      <c r="CF71" s="189"/>
      <c r="CG71" s="189"/>
      <c r="CH71" s="190"/>
    </row>
    <row r="72" ht="14.25" customHeight="1">
      <c r="A72" s="11" t="s">
        <v>123</v>
      </c>
      <c r="C72" s="39"/>
      <c r="D72" s="240">
        <v>2.75</v>
      </c>
      <c r="E72" s="5" t="s">
        <v>331</v>
      </c>
      <c r="F72" s="5" t="s">
        <v>121</v>
      </c>
      <c r="G72" s="13" t="s">
        <v>115</v>
      </c>
      <c r="H72" s="11" t="s">
        <v>331</v>
      </c>
      <c r="I72" s="5" t="s">
        <v>62</v>
      </c>
      <c r="J72" s="13" t="s">
        <v>63</v>
      </c>
      <c r="K72" s="15">
        <v>8000.0</v>
      </c>
      <c r="L72" s="5" t="s">
        <v>116</v>
      </c>
      <c r="M72" s="39" t="s">
        <v>85</v>
      </c>
      <c r="N72" s="74" t="s">
        <v>69</v>
      </c>
      <c r="O72" s="5">
        <v>0.06713</v>
      </c>
      <c r="P72" s="16" t="s">
        <v>66</v>
      </c>
      <c r="Q72" s="240">
        <v>2.75</v>
      </c>
      <c r="R72" s="18" t="s">
        <v>67</v>
      </c>
      <c r="S72" s="19">
        <v>2024.0</v>
      </c>
      <c r="T72" s="76" t="s">
        <v>68</v>
      </c>
      <c r="U72" s="5">
        <v>100.0</v>
      </c>
      <c r="V72" s="19">
        <v>2024.0</v>
      </c>
      <c r="W72" s="5">
        <v>83.07</v>
      </c>
      <c r="X72" s="5">
        <v>25.0</v>
      </c>
      <c r="Y72" s="5">
        <v>2.5</v>
      </c>
      <c r="Z72" s="19">
        <v>6.0</v>
      </c>
      <c r="AA72" s="19">
        <v>7.8</v>
      </c>
      <c r="AB72" s="22">
        <v>0.0</v>
      </c>
      <c r="AC72" s="23" t="s">
        <v>69</v>
      </c>
      <c r="AD72" s="24" t="s">
        <v>70</v>
      </c>
      <c r="AE72" s="47">
        <v>2220.0</v>
      </c>
      <c r="AF72" s="22" t="s">
        <v>71</v>
      </c>
      <c r="AG72" s="22">
        <v>335.4</v>
      </c>
      <c r="AH72" s="22">
        <v>10.7</v>
      </c>
      <c r="AI72" s="22">
        <v>0.0</v>
      </c>
      <c r="AJ72" s="26" t="s">
        <v>72</v>
      </c>
      <c r="AK72" s="27">
        <v>0.0</v>
      </c>
      <c r="AL72" s="23" t="s">
        <v>69</v>
      </c>
      <c r="AM72" s="23" t="s">
        <v>69</v>
      </c>
      <c r="AN72" s="23" t="s">
        <v>69</v>
      </c>
      <c r="AO72" s="23" t="s">
        <v>69</v>
      </c>
      <c r="AP72" s="23" t="s">
        <v>69</v>
      </c>
      <c r="AQ72" s="23" t="s">
        <v>69</v>
      </c>
      <c r="AR72" s="23" t="s">
        <v>69</v>
      </c>
      <c r="AS72" s="23" t="s">
        <v>69</v>
      </c>
      <c r="AT72" s="23" t="s">
        <v>69</v>
      </c>
      <c r="AU72" s="23" t="s">
        <v>69</v>
      </c>
      <c r="AV72" s="23" t="s">
        <v>69</v>
      </c>
      <c r="AW72" s="23" t="s">
        <v>69</v>
      </c>
      <c r="AX72" s="23" t="s">
        <v>69</v>
      </c>
      <c r="AY72" s="47">
        <v>0.0</v>
      </c>
      <c r="AZ72" s="77" t="s">
        <v>118</v>
      </c>
      <c r="BA72" s="49">
        <v>1.0</v>
      </c>
      <c r="BB72" s="50">
        <v>10.0</v>
      </c>
      <c r="BC72" s="51" t="s">
        <v>72</v>
      </c>
      <c r="BD72" s="52">
        <v>0.0</v>
      </c>
      <c r="BE72" s="168" t="s">
        <v>298</v>
      </c>
      <c r="BF72" s="236"/>
      <c r="BG72" s="237">
        <v>35.0</v>
      </c>
      <c r="BH72" s="238" t="s">
        <v>69</v>
      </c>
      <c r="BI72" s="144">
        <v>159901.0</v>
      </c>
      <c r="BJ72" s="137"/>
      <c r="BK72" s="137" t="s">
        <v>69</v>
      </c>
      <c r="BL72" s="137"/>
      <c r="BM72" s="137"/>
      <c r="BN72" s="137"/>
      <c r="BO72" s="137"/>
      <c r="BP72" s="137"/>
      <c r="BQ72" s="137"/>
      <c r="BR72" s="137"/>
      <c r="BS72" s="185"/>
      <c r="BT72" s="186"/>
      <c r="BU72" s="186"/>
      <c r="BV72" s="187"/>
      <c r="BW72" s="188"/>
      <c r="BX72" s="189"/>
      <c r="BY72" s="189"/>
      <c r="BZ72" s="189"/>
      <c r="CA72" s="189"/>
      <c r="CB72" s="189"/>
      <c r="CC72" s="189"/>
      <c r="CD72" s="189">
        <v>1054592.0</v>
      </c>
      <c r="CE72" s="189">
        <v>894691.0</v>
      </c>
      <c r="CF72" s="189"/>
      <c r="CG72" s="189"/>
      <c r="CH72" s="190"/>
    </row>
    <row r="73" ht="14.25" customHeight="1">
      <c r="BC73" s="13"/>
      <c r="BD73" s="13"/>
    </row>
    <row r="74" ht="14.25" customHeight="1">
      <c r="BC74" s="13"/>
      <c r="BD74" s="13"/>
    </row>
    <row r="75" ht="14.25" customHeight="1">
      <c r="BC75" s="13"/>
      <c r="BD75" s="13"/>
    </row>
    <row r="76" ht="14.25" customHeight="1">
      <c r="A76" s="5" t="s">
        <v>299</v>
      </c>
      <c r="BC76" s="13"/>
      <c r="BD76" s="13"/>
    </row>
    <row r="77" ht="14.25" customHeight="1">
      <c r="A77" s="239" t="s">
        <v>300</v>
      </c>
      <c r="BC77" s="13"/>
      <c r="BD77" s="13"/>
    </row>
    <row r="78" ht="14.25" customHeight="1">
      <c r="A78" s="2" t="s">
        <v>12</v>
      </c>
      <c r="B78" s="8" t="s">
        <v>86</v>
      </c>
      <c r="C78" s="8" t="s">
        <v>84</v>
      </c>
      <c r="D78" s="8" t="s">
        <v>85</v>
      </c>
      <c r="BC78" s="13"/>
      <c r="BD78" s="13"/>
    </row>
    <row r="79" ht="14.25" customHeight="1">
      <c r="A79" s="240">
        <v>1.5</v>
      </c>
      <c r="B79" s="144">
        <v>-219612.0</v>
      </c>
      <c r="C79" s="33">
        <v>-59515.0</v>
      </c>
      <c r="D79" s="33">
        <v>-167512.0</v>
      </c>
      <c r="BC79" s="13"/>
      <c r="BD79" s="13"/>
    </row>
    <row r="80" ht="14.25" customHeight="1">
      <c r="A80" s="240">
        <v>1.75</v>
      </c>
      <c r="B80" s="144">
        <v>-154130.0</v>
      </c>
      <c r="C80" s="33">
        <v>5967.0</v>
      </c>
      <c r="D80" s="33">
        <v>-102029.0</v>
      </c>
      <c r="BC80" s="13"/>
      <c r="BD80" s="13"/>
    </row>
    <row r="81" ht="14.25" customHeight="1">
      <c r="A81" s="240">
        <v>2.0</v>
      </c>
      <c r="B81" s="144">
        <v>-88647.0</v>
      </c>
      <c r="C81" s="33">
        <v>71450.0</v>
      </c>
      <c r="D81" s="33">
        <v>-36546.0</v>
      </c>
      <c r="BC81" s="13"/>
      <c r="BD81" s="13"/>
    </row>
    <row r="82" ht="14.25" customHeight="1">
      <c r="A82" s="240">
        <v>2.25</v>
      </c>
      <c r="B82" s="144">
        <v>-23165.0</v>
      </c>
      <c r="C82" s="33">
        <v>136932.0</v>
      </c>
      <c r="D82" s="33">
        <v>28936.0</v>
      </c>
      <c r="BC82" s="13"/>
      <c r="BD82" s="13"/>
    </row>
    <row r="83" ht="14.25" customHeight="1">
      <c r="A83" s="240">
        <v>2.5</v>
      </c>
      <c r="B83" s="144">
        <v>42318.0</v>
      </c>
      <c r="C83" s="33">
        <v>202415.0</v>
      </c>
      <c r="D83" s="33">
        <v>94419.0</v>
      </c>
      <c r="BC83" s="13"/>
      <c r="BD83" s="13"/>
    </row>
    <row r="84" ht="14.25" customHeight="1">
      <c r="A84" s="240">
        <v>2.75</v>
      </c>
      <c r="B84" s="144">
        <v>107800.0</v>
      </c>
      <c r="C84" s="33">
        <v>267897.0</v>
      </c>
      <c r="D84" s="33">
        <v>159901.0</v>
      </c>
      <c r="BC84" s="13"/>
      <c r="BD84" s="13"/>
    </row>
    <row r="85" ht="14.25" customHeight="1">
      <c r="A85" s="239" t="s">
        <v>332</v>
      </c>
      <c r="BC85" s="13"/>
      <c r="BD85" s="13"/>
    </row>
    <row r="86" ht="14.25" customHeight="1">
      <c r="A86" s="2" t="s">
        <v>12</v>
      </c>
      <c r="B86" s="8" t="s">
        <v>333</v>
      </c>
      <c r="BC86" s="13"/>
      <c r="BD86" s="13"/>
    </row>
    <row r="87" ht="14.25" customHeight="1">
      <c r="A87" s="240">
        <v>1.5</v>
      </c>
      <c r="B87" s="144">
        <f t="shared" ref="B87:B92" si="4">CD53+28000</f>
        <v>776333</v>
      </c>
      <c r="BC87" s="13"/>
      <c r="BD87" s="13"/>
    </row>
    <row r="88" ht="14.25" customHeight="1">
      <c r="A88" s="240">
        <v>1.75</v>
      </c>
      <c r="B88" s="144">
        <f t="shared" si="4"/>
        <v>841816</v>
      </c>
      <c r="BC88" s="13"/>
      <c r="BD88" s="13"/>
    </row>
    <row r="89" ht="14.25" customHeight="1">
      <c r="A89" s="240">
        <v>2.01</v>
      </c>
      <c r="B89" s="144">
        <f t="shared" si="4"/>
        <v>909918</v>
      </c>
      <c r="BC89" s="13"/>
      <c r="BD89" s="13"/>
    </row>
    <row r="90" ht="14.25" customHeight="1">
      <c r="A90" s="240">
        <v>2.25</v>
      </c>
      <c r="B90" s="144">
        <f t="shared" si="4"/>
        <v>972781</v>
      </c>
      <c r="BC90" s="13"/>
      <c r="BD90" s="13"/>
    </row>
    <row r="91" ht="14.25" customHeight="1">
      <c r="A91" s="240">
        <v>2.5</v>
      </c>
      <c r="B91" s="144">
        <f t="shared" si="4"/>
        <v>1038264</v>
      </c>
      <c r="BC91" s="13"/>
      <c r="BD91" s="13"/>
    </row>
    <row r="92" ht="14.25" customHeight="1">
      <c r="A92" s="240">
        <v>2.75</v>
      </c>
      <c r="B92" s="144">
        <f t="shared" si="4"/>
        <v>1103746</v>
      </c>
      <c r="BC92" s="13"/>
      <c r="BD92" s="13"/>
    </row>
    <row r="93" ht="14.25" customHeight="1">
      <c r="BC93" s="13"/>
      <c r="BD93" s="13"/>
    </row>
    <row r="94" ht="14.25" customHeight="1">
      <c r="BC94" s="13"/>
      <c r="BD94" s="13"/>
    </row>
    <row r="95" ht="14.25" customHeight="1">
      <c r="BC95" s="13"/>
      <c r="BD95" s="13"/>
    </row>
    <row r="96" ht="14.25" customHeight="1">
      <c r="BC96" s="13"/>
      <c r="BD96" s="13"/>
    </row>
    <row r="97" ht="14.25" customHeight="1">
      <c r="BC97" s="13"/>
      <c r="BD97" s="13"/>
    </row>
    <row r="98" ht="14.25" customHeight="1">
      <c r="BC98" s="13"/>
      <c r="BD98" s="13"/>
    </row>
    <row r="99" ht="14.25" customHeight="1">
      <c r="BC99" s="13"/>
      <c r="BD99" s="13"/>
    </row>
    <row r="100" ht="14.25" customHeight="1">
      <c r="BC100" s="13"/>
      <c r="BD100" s="13"/>
    </row>
    <row r="101" ht="14.25" customHeight="1">
      <c r="BC101" s="13"/>
      <c r="BD101" s="13"/>
    </row>
    <row r="102" ht="14.25" customHeight="1">
      <c r="BC102" s="13"/>
      <c r="BD102" s="13"/>
    </row>
    <row r="103" ht="14.25" customHeight="1">
      <c r="BC103" s="13"/>
      <c r="BD103" s="13"/>
    </row>
    <row r="104" ht="14.25" customHeight="1">
      <c r="BC104" s="13"/>
      <c r="BD104" s="13"/>
    </row>
    <row r="105" ht="14.25" customHeight="1">
      <c r="BC105" s="13"/>
      <c r="BD105" s="13"/>
    </row>
    <row r="106" ht="14.25" customHeight="1">
      <c r="BC106" s="13"/>
      <c r="BD106" s="13"/>
    </row>
    <row r="107" ht="14.25" customHeight="1">
      <c r="BC107" s="13"/>
      <c r="BD107" s="13"/>
    </row>
    <row r="108" ht="14.25" customHeight="1">
      <c r="BC108" s="13"/>
      <c r="BD108" s="13"/>
    </row>
    <row r="109" ht="14.25" customHeight="1">
      <c r="BC109" s="13"/>
      <c r="BD109" s="13"/>
    </row>
    <row r="110" ht="14.25" customHeight="1">
      <c r="BC110" s="13"/>
      <c r="BD110" s="13"/>
    </row>
    <row r="111" ht="14.25" customHeight="1">
      <c r="BC111" s="13"/>
      <c r="BD111" s="13"/>
    </row>
    <row r="112" ht="14.25" customHeight="1">
      <c r="BC112" s="13"/>
      <c r="BD112" s="13"/>
    </row>
    <row r="113" ht="14.25" customHeight="1">
      <c r="BC113" s="13"/>
      <c r="BD113" s="13"/>
    </row>
    <row r="114" ht="14.25" customHeight="1">
      <c r="BC114" s="13"/>
      <c r="BD114" s="13"/>
    </row>
    <row r="115" ht="14.25" customHeight="1">
      <c r="BC115" s="13"/>
      <c r="BD115" s="13"/>
    </row>
    <row r="116" ht="14.25" customHeight="1">
      <c r="BC116" s="13"/>
      <c r="BD116" s="13"/>
    </row>
    <row r="117" ht="14.25" customHeight="1">
      <c r="BC117" s="13"/>
      <c r="BD117" s="13"/>
    </row>
    <row r="118" ht="14.25" customHeight="1">
      <c r="BC118" s="13"/>
      <c r="BD118" s="13"/>
    </row>
    <row r="119" ht="14.25" customHeight="1">
      <c r="BC119" s="13"/>
      <c r="BD119" s="13"/>
    </row>
    <row r="120" ht="14.25" customHeight="1">
      <c r="BC120" s="13"/>
      <c r="BD120" s="13"/>
    </row>
    <row r="121" ht="14.25" customHeight="1">
      <c r="BC121" s="13"/>
      <c r="BD121" s="13"/>
    </row>
    <row r="122" ht="14.25" customHeight="1">
      <c r="BC122" s="13"/>
      <c r="BD122" s="13"/>
    </row>
    <row r="123" ht="14.25" customHeight="1">
      <c r="BC123" s="13"/>
      <c r="BD123" s="13"/>
    </row>
    <row r="124" ht="14.25" customHeight="1">
      <c r="BC124" s="13"/>
      <c r="BD124" s="13"/>
    </row>
    <row r="125" ht="14.25" customHeight="1">
      <c r="BC125" s="13"/>
      <c r="BD125" s="13"/>
    </row>
    <row r="126" ht="14.25" customHeight="1">
      <c r="BC126" s="13"/>
      <c r="BD126" s="13"/>
    </row>
    <row r="127" ht="14.25" customHeight="1">
      <c r="BC127" s="13"/>
      <c r="BD127" s="13"/>
    </row>
    <row r="128" ht="14.25" customHeight="1">
      <c r="BC128" s="13"/>
      <c r="BD128" s="13"/>
    </row>
    <row r="129" ht="14.25" customHeight="1">
      <c r="BC129" s="13"/>
      <c r="BD129" s="13"/>
    </row>
    <row r="130" ht="14.25" customHeight="1">
      <c r="BC130" s="13"/>
      <c r="BD130" s="13"/>
    </row>
    <row r="131" ht="14.25" customHeight="1">
      <c r="BC131" s="13"/>
      <c r="BD131" s="13"/>
    </row>
    <row r="132" ht="14.25" customHeight="1">
      <c r="BC132" s="13"/>
      <c r="BD132" s="13"/>
    </row>
    <row r="133" ht="14.25" customHeight="1">
      <c r="BC133" s="13"/>
      <c r="BD133" s="13"/>
    </row>
    <row r="134" ht="14.25" customHeight="1">
      <c r="BC134" s="13"/>
      <c r="BD134" s="13"/>
    </row>
    <row r="135" ht="14.25" customHeight="1">
      <c r="BC135" s="13"/>
      <c r="BD135" s="13"/>
    </row>
    <row r="136" ht="14.25" customHeight="1">
      <c r="BC136" s="13"/>
      <c r="BD136" s="13"/>
    </row>
    <row r="137" ht="14.25" customHeight="1">
      <c r="BC137" s="13"/>
      <c r="BD137" s="13"/>
    </row>
    <row r="138" ht="14.25" customHeight="1">
      <c r="BC138" s="13"/>
      <c r="BD138" s="13"/>
    </row>
    <row r="139" ht="14.25" customHeight="1">
      <c r="BC139" s="13"/>
      <c r="BD139" s="13"/>
    </row>
    <row r="140" ht="14.25" customHeight="1">
      <c r="BC140" s="13"/>
      <c r="BD140" s="13"/>
    </row>
    <row r="141" ht="14.25" customHeight="1">
      <c r="BC141" s="13"/>
      <c r="BD141" s="13"/>
    </row>
    <row r="142" ht="14.25" customHeight="1">
      <c r="BC142" s="13"/>
      <c r="BD142" s="13"/>
    </row>
    <row r="143" ht="14.25" customHeight="1">
      <c r="BC143" s="13"/>
      <c r="BD143" s="13"/>
    </row>
    <row r="144" ht="14.25" customHeight="1">
      <c r="BC144" s="13"/>
      <c r="BD144" s="13"/>
    </row>
    <row r="145" ht="14.25" customHeight="1">
      <c r="BC145" s="13"/>
      <c r="BD145" s="13"/>
    </row>
    <row r="146" ht="14.25" customHeight="1">
      <c r="BC146" s="13"/>
      <c r="BD146" s="13"/>
    </row>
    <row r="147" ht="14.25" customHeight="1">
      <c r="BC147" s="13"/>
      <c r="BD147" s="13"/>
    </row>
    <row r="148" ht="14.25" customHeight="1">
      <c r="BC148" s="13"/>
      <c r="BD148" s="13"/>
    </row>
    <row r="149" ht="14.25" customHeight="1">
      <c r="BC149" s="13"/>
      <c r="BD149" s="13"/>
    </row>
    <row r="150" ht="14.25" customHeight="1">
      <c r="BC150" s="13"/>
      <c r="BD150" s="13"/>
    </row>
    <row r="151" ht="14.25" customHeight="1">
      <c r="BC151" s="13"/>
      <c r="BD151" s="13"/>
    </row>
    <row r="152" ht="14.25" customHeight="1">
      <c r="BC152" s="13"/>
      <c r="BD152" s="13"/>
    </row>
    <row r="153" ht="14.25" customHeight="1">
      <c r="BC153" s="13"/>
      <c r="BD153" s="13"/>
    </row>
    <row r="154" ht="14.25" customHeight="1">
      <c r="BC154" s="13"/>
      <c r="BD154" s="13"/>
    </row>
    <row r="155" ht="14.25" customHeight="1">
      <c r="BC155" s="13"/>
      <c r="BD155" s="13"/>
    </row>
    <row r="156" ht="14.25" customHeight="1">
      <c r="BC156" s="13"/>
      <c r="BD156" s="13"/>
    </row>
    <row r="157" ht="14.25" customHeight="1">
      <c r="BC157" s="13"/>
      <c r="BD157" s="13"/>
    </row>
    <row r="158" ht="14.25" customHeight="1">
      <c r="BC158" s="13"/>
      <c r="BD158" s="13"/>
    </row>
    <row r="159" ht="14.25" customHeight="1">
      <c r="BC159" s="13"/>
      <c r="BD159" s="13"/>
    </row>
    <row r="160" ht="14.25" customHeight="1">
      <c r="BC160" s="13"/>
      <c r="BD160" s="13"/>
    </row>
    <row r="161" ht="14.25" customHeight="1">
      <c r="BC161" s="13"/>
      <c r="BD161" s="13"/>
    </row>
    <row r="162" ht="14.25" customHeight="1">
      <c r="BC162" s="13"/>
      <c r="BD162" s="13"/>
    </row>
    <row r="163" ht="14.25" customHeight="1">
      <c r="BC163" s="13"/>
      <c r="BD163" s="13"/>
    </row>
    <row r="164" ht="14.25" customHeight="1">
      <c r="BC164" s="13"/>
      <c r="BD164" s="13"/>
    </row>
    <row r="165" ht="14.25" customHeight="1">
      <c r="BC165" s="13"/>
      <c r="BD165" s="13"/>
    </row>
    <row r="166" ht="14.25" customHeight="1">
      <c r="BC166" s="13"/>
      <c r="BD166" s="13"/>
    </row>
    <row r="167" ht="14.25" customHeight="1">
      <c r="BC167" s="13"/>
      <c r="BD167" s="13"/>
    </row>
    <row r="168" ht="14.25" customHeight="1">
      <c r="BC168" s="13"/>
      <c r="BD168" s="13"/>
    </row>
    <row r="169" ht="14.25" customHeight="1">
      <c r="BC169" s="13"/>
      <c r="BD169" s="13"/>
    </row>
    <row r="170" ht="14.25" customHeight="1">
      <c r="BC170" s="13"/>
      <c r="BD170" s="13"/>
    </row>
    <row r="171" ht="14.25" customHeight="1">
      <c r="BC171" s="13"/>
      <c r="BD171" s="13"/>
    </row>
    <row r="172" ht="14.25" customHeight="1">
      <c r="BC172" s="13"/>
      <c r="BD172" s="13"/>
    </row>
    <row r="173" ht="14.25" customHeight="1">
      <c r="BC173" s="13"/>
      <c r="BD173" s="13"/>
    </row>
    <row r="174" ht="14.25" customHeight="1">
      <c r="BC174" s="13"/>
      <c r="BD174" s="13"/>
    </row>
    <row r="175" ht="14.25" customHeight="1">
      <c r="BC175" s="13"/>
      <c r="BD175" s="13"/>
    </row>
    <row r="176" ht="14.25" customHeight="1">
      <c r="BC176" s="13"/>
      <c r="BD176" s="13"/>
    </row>
    <row r="177" ht="14.25" customHeight="1">
      <c r="BC177" s="13"/>
      <c r="BD177" s="13"/>
    </row>
    <row r="178" ht="14.25" customHeight="1">
      <c r="BC178" s="13"/>
      <c r="BD178" s="13"/>
    </row>
    <row r="179" ht="14.25" customHeight="1">
      <c r="BC179" s="13"/>
      <c r="BD179" s="13"/>
    </row>
    <row r="180" ht="14.25" customHeight="1">
      <c r="BC180" s="13"/>
      <c r="BD180" s="13"/>
    </row>
    <row r="181" ht="14.25" customHeight="1">
      <c r="BC181" s="13"/>
      <c r="BD181" s="13"/>
    </row>
    <row r="182" ht="14.25" customHeight="1">
      <c r="BC182" s="13"/>
      <c r="BD182" s="13"/>
    </row>
    <row r="183" ht="14.25" customHeight="1">
      <c r="BC183" s="13"/>
      <c r="BD183" s="13"/>
    </row>
    <row r="184" ht="14.25" customHeight="1">
      <c r="BC184" s="13"/>
      <c r="BD184" s="13"/>
    </row>
    <row r="185" ht="14.25" customHeight="1">
      <c r="BC185" s="13"/>
      <c r="BD185" s="13"/>
    </row>
    <row r="186" ht="14.25" customHeight="1">
      <c r="BC186" s="13"/>
      <c r="BD186" s="13"/>
    </row>
    <row r="187" ht="14.25" customHeight="1">
      <c r="BC187" s="13"/>
      <c r="BD187" s="13"/>
    </row>
    <row r="188" ht="14.25" customHeight="1">
      <c r="BC188" s="13"/>
      <c r="BD188" s="13"/>
    </row>
    <row r="189" ht="14.25" customHeight="1">
      <c r="BC189" s="13"/>
      <c r="BD189" s="13"/>
    </row>
    <row r="190" ht="14.25" customHeight="1">
      <c r="BC190" s="13"/>
      <c r="BD190" s="13"/>
    </row>
    <row r="191" ht="14.25" customHeight="1">
      <c r="BC191" s="13"/>
      <c r="BD191" s="13"/>
    </row>
    <row r="192" ht="14.25" customHeight="1">
      <c r="BC192" s="13"/>
      <c r="BD192" s="13"/>
    </row>
    <row r="193" ht="14.25" customHeight="1">
      <c r="BC193" s="13"/>
      <c r="BD193" s="13"/>
    </row>
    <row r="194" ht="14.25" customHeight="1">
      <c r="BC194" s="13"/>
      <c r="BD194" s="13"/>
    </row>
    <row r="195" ht="14.25" customHeight="1">
      <c r="BC195" s="13"/>
      <c r="BD195" s="13"/>
    </row>
    <row r="196" ht="14.25" customHeight="1">
      <c r="BC196" s="13"/>
      <c r="BD196" s="13"/>
    </row>
    <row r="197" ht="14.25" customHeight="1">
      <c r="BC197" s="13"/>
      <c r="BD197" s="13"/>
    </row>
    <row r="198" ht="14.25" customHeight="1">
      <c r="BC198" s="13"/>
      <c r="BD198" s="13"/>
    </row>
    <row r="199" ht="14.25" customHeight="1">
      <c r="BC199" s="13"/>
      <c r="BD199" s="13"/>
    </row>
    <row r="200" ht="14.25" customHeight="1">
      <c r="BC200" s="13"/>
      <c r="BD200" s="13"/>
    </row>
    <row r="201" ht="14.25" customHeight="1">
      <c r="BC201" s="13"/>
      <c r="BD201" s="13"/>
    </row>
    <row r="202" ht="14.25" customHeight="1">
      <c r="BC202" s="13"/>
      <c r="BD202" s="13"/>
    </row>
    <row r="203" ht="14.25" customHeight="1">
      <c r="BC203" s="13"/>
      <c r="BD203" s="13"/>
    </row>
    <row r="204" ht="14.25" customHeight="1">
      <c r="BC204" s="13"/>
      <c r="BD204" s="13"/>
    </row>
    <row r="205" ht="14.25" customHeight="1">
      <c r="BC205" s="13"/>
      <c r="BD205" s="13"/>
    </row>
    <row r="206" ht="14.25" customHeight="1">
      <c r="BC206" s="13"/>
      <c r="BD206" s="13"/>
    </row>
    <row r="207" ht="14.25" customHeight="1">
      <c r="BC207" s="13"/>
      <c r="BD207" s="13"/>
    </row>
    <row r="208" ht="14.25" customHeight="1">
      <c r="BC208" s="13"/>
      <c r="BD208" s="13"/>
    </row>
    <row r="209" ht="14.25" customHeight="1">
      <c r="BC209" s="13"/>
      <c r="BD209" s="13"/>
    </row>
    <row r="210" ht="14.25" customHeight="1">
      <c r="BC210" s="13"/>
      <c r="BD210" s="13"/>
    </row>
    <row r="211" ht="14.25" customHeight="1">
      <c r="BC211" s="13"/>
      <c r="BD211" s="13"/>
    </row>
    <row r="212" ht="14.25" customHeight="1">
      <c r="BC212" s="13"/>
      <c r="BD212" s="13"/>
    </row>
    <row r="213" ht="14.25" customHeight="1">
      <c r="BC213" s="13"/>
      <c r="BD213" s="13"/>
    </row>
    <row r="214" ht="14.25" customHeight="1">
      <c r="BC214" s="13"/>
      <c r="BD214" s="13"/>
    </row>
    <row r="215" ht="14.25" customHeight="1">
      <c r="BC215" s="13"/>
      <c r="BD215" s="13"/>
    </row>
    <row r="216" ht="14.25" customHeight="1">
      <c r="BC216" s="13"/>
      <c r="BD216" s="13"/>
    </row>
    <row r="217" ht="14.25" customHeight="1">
      <c r="BC217" s="13"/>
      <c r="BD217" s="13"/>
    </row>
    <row r="218" ht="14.25" customHeight="1">
      <c r="BC218" s="13"/>
      <c r="BD218" s="13"/>
    </row>
    <row r="219" ht="14.25" customHeight="1">
      <c r="BC219" s="13"/>
      <c r="BD219" s="13"/>
    </row>
    <row r="220" ht="14.25" customHeight="1">
      <c r="BC220" s="13"/>
      <c r="BD220" s="13"/>
    </row>
    <row r="221" ht="14.25" customHeight="1">
      <c r="BC221" s="13"/>
      <c r="BD221" s="13"/>
    </row>
    <row r="222" ht="14.25" customHeight="1">
      <c r="BC222" s="13"/>
      <c r="BD222" s="13"/>
    </row>
    <row r="223" ht="14.25" customHeight="1">
      <c r="BC223" s="13"/>
      <c r="BD223" s="13"/>
    </row>
    <row r="224" ht="14.25" customHeight="1">
      <c r="BC224" s="13"/>
      <c r="BD224" s="13"/>
    </row>
    <row r="225" ht="14.25" customHeight="1">
      <c r="BC225" s="13"/>
      <c r="BD225" s="13"/>
    </row>
    <row r="226" ht="14.25" customHeight="1">
      <c r="BC226" s="13"/>
      <c r="BD226" s="13"/>
    </row>
    <row r="227" ht="14.25" customHeight="1">
      <c r="BC227" s="13"/>
      <c r="BD227" s="13"/>
    </row>
    <row r="228" ht="14.25" customHeight="1">
      <c r="BC228" s="13"/>
      <c r="BD228" s="13"/>
    </row>
    <row r="229" ht="14.25" customHeight="1">
      <c r="BC229" s="13"/>
      <c r="BD229" s="13"/>
    </row>
    <row r="230" ht="14.25" customHeight="1">
      <c r="BC230" s="13"/>
      <c r="BD230" s="13"/>
    </row>
    <row r="231" ht="14.25" customHeight="1">
      <c r="BC231" s="13"/>
      <c r="BD231" s="13"/>
    </row>
    <row r="232" ht="14.25" customHeight="1">
      <c r="BC232" s="13"/>
      <c r="BD232" s="13"/>
    </row>
    <row r="233" ht="14.25" customHeight="1">
      <c r="BC233" s="13"/>
      <c r="BD233" s="13"/>
    </row>
    <row r="234" ht="14.25" customHeight="1">
      <c r="BC234" s="13"/>
      <c r="BD234" s="13"/>
    </row>
    <row r="235" ht="14.25" customHeight="1">
      <c r="BC235" s="13"/>
      <c r="BD235" s="13"/>
    </row>
    <row r="236" ht="14.25" customHeight="1">
      <c r="BC236" s="13"/>
      <c r="BD236" s="13"/>
    </row>
    <row r="237" ht="14.25" customHeight="1">
      <c r="BC237" s="13"/>
      <c r="BD237" s="13"/>
    </row>
    <row r="238" ht="14.25" customHeight="1">
      <c r="BC238" s="13"/>
      <c r="BD238" s="13"/>
    </row>
    <row r="239" ht="14.25" customHeight="1">
      <c r="BC239" s="13"/>
      <c r="BD239" s="13"/>
    </row>
    <row r="240" ht="14.25" customHeight="1">
      <c r="BC240" s="13"/>
      <c r="BD240" s="13"/>
    </row>
    <row r="241" ht="14.25" customHeight="1">
      <c r="BC241" s="13"/>
      <c r="BD241" s="13"/>
    </row>
    <row r="242" ht="14.25" customHeight="1">
      <c r="BC242" s="13"/>
      <c r="BD242" s="13"/>
    </row>
    <row r="243" ht="14.25" customHeight="1">
      <c r="BC243" s="13"/>
      <c r="BD243" s="13"/>
    </row>
    <row r="244" ht="14.25" customHeight="1">
      <c r="BC244" s="13"/>
      <c r="BD244" s="13"/>
    </row>
    <row r="245" ht="14.25" customHeight="1">
      <c r="BC245" s="13"/>
      <c r="BD245" s="13"/>
    </row>
    <row r="246" ht="14.25" customHeight="1">
      <c r="BC246" s="13"/>
      <c r="BD246" s="13"/>
    </row>
    <row r="247" ht="14.25" customHeight="1">
      <c r="BC247" s="13"/>
      <c r="BD247" s="13"/>
    </row>
    <row r="248" ht="14.25" customHeight="1">
      <c r="BC248" s="13"/>
      <c r="BD248" s="13"/>
    </row>
    <row r="249" ht="14.25" customHeight="1">
      <c r="BC249" s="13"/>
      <c r="BD249" s="13"/>
    </row>
    <row r="250" ht="14.25" customHeight="1">
      <c r="BC250" s="13"/>
      <c r="BD250" s="13"/>
    </row>
    <row r="251" ht="14.25" customHeight="1">
      <c r="BC251" s="13"/>
      <c r="BD251" s="13"/>
    </row>
    <row r="252" ht="14.25" customHeight="1">
      <c r="BC252" s="13"/>
      <c r="BD252" s="13"/>
    </row>
    <row r="253" ht="14.25" customHeight="1">
      <c r="BC253" s="13"/>
      <c r="BD253" s="13"/>
    </row>
    <row r="254" ht="14.25" customHeight="1">
      <c r="BC254" s="13"/>
      <c r="BD254" s="13"/>
    </row>
    <row r="255" ht="14.25" customHeight="1">
      <c r="BC255" s="13"/>
      <c r="BD255" s="13"/>
    </row>
    <row r="256" ht="14.25" customHeight="1">
      <c r="BC256" s="13"/>
      <c r="BD256" s="13"/>
    </row>
    <row r="257" ht="14.25" customHeight="1">
      <c r="BC257" s="13"/>
      <c r="BD257" s="13"/>
    </row>
    <row r="258" ht="14.25" customHeight="1">
      <c r="BC258" s="13"/>
      <c r="BD258" s="13"/>
    </row>
    <row r="259" ht="14.25" customHeight="1">
      <c r="BC259" s="13"/>
      <c r="BD259" s="13"/>
    </row>
    <row r="260" ht="14.25" customHeight="1">
      <c r="BC260" s="13"/>
      <c r="BD260" s="13"/>
    </row>
    <row r="261" ht="14.25" customHeight="1">
      <c r="BC261" s="13"/>
      <c r="BD261" s="13"/>
    </row>
    <row r="262" ht="14.25" customHeight="1">
      <c r="BC262" s="13"/>
      <c r="BD262" s="13"/>
    </row>
    <row r="263" ht="14.25" customHeight="1">
      <c r="BC263" s="13"/>
      <c r="BD263" s="13"/>
    </row>
    <row r="264" ht="14.25" customHeight="1">
      <c r="BC264" s="13"/>
      <c r="BD264" s="13"/>
    </row>
    <row r="265" ht="14.25" customHeight="1">
      <c r="BC265" s="13"/>
      <c r="BD265" s="13"/>
    </row>
    <row r="266" ht="14.25" customHeight="1">
      <c r="BC266" s="13"/>
      <c r="BD266" s="13"/>
    </row>
    <row r="267" ht="14.25" customHeight="1">
      <c r="BC267" s="13"/>
      <c r="BD267" s="13"/>
    </row>
    <row r="268" ht="14.25" customHeight="1">
      <c r="BC268" s="13"/>
      <c r="BD268" s="13"/>
    </row>
    <row r="269" ht="14.25" customHeight="1">
      <c r="BC269" s="13"/>
      <c r="BD269" s="13"/>
    </row>
    <row r="270" ht="14.25" customHeight="1">
      <c r="BC270" s="13"/>
      <c r="BD270" s="13"/>
    </row>
    <row r="271" ht="14.25" customHeight="1">
      <c r="BC271" s="13"/>
      <c r="BD271" s="13"/>
    </row>
    <row r="272" ht="14.25" customHeight="1">
      <c r="BC272" s="13"/>
      <c r="BD272" s="13"/>
    </row>
    <row r="273" ht="14.25" customHeight="1">
      <c r="BC273" s="13"/>
      <c r="BD273" s="13"/>
    </row>
    <row r="274" ht="14.25" customHeight="1">
      <c r="BC274" s="13"/>
      <c r="BD274" s="13"/>
    </row>
    <row r="275" ht="14.25" customHeight="1">
      <c r="BC275" s="13"/>
      <c r="BD275" s="13"/>
    </row>
    <row r="276" ht="14.25" customHeight="1">
      <c r="BC276" s="13"/>
      <c r="BD276" s="13"/>
    </row>
    <row r="277" ht="14.25" customHeight="1">
      <c r="BC277" s="13"/>
      <c r="BD277" s="13"/>
    </row>
    <row r="278" ht="14.25" customHeight="1">
      <c r="BC278" s="13"/>
      <c r="BD278" s="13"/>
    </row>
    <row r="279" ht="14.25" customHeight="1">
      <c r="BC279" s="13"/>
      <c r="BD279" s="13"/>
    </row>
    <row r="280" ht="14.25" customHeight="1">
      <c r="BC280" s="13"/>
      <c r="BD280" s="13"/>
    </row>
    <row r="281" ht="14.25" customHeight="1">
      <c r="BC281" s="13"/>
      <c r="BD281" s="13"/>
    </row>
    <row r="282" ht="14.25" customHeight="1">
      <c r="BC282" s="13"/>
      <c r="BD282" s="13"/>
    </row>
    <row r="283" ht="14.25" customHeight="1">
      <c r="BC283" s="13"/>
      <c r="BD283" s="13"/>
    </row>
    <row r="284" ht="14.25" customHeight="1">
      <c r="BC284" s="13"/>
      <c r="BD284" s="13"/>
    </row>
    <row r="285" ht="14.25" customHeight="1">
      <c r="BC285" s="13"/>
      <c r="BD285" s="13"/>
    </row>
    <row r="286" ht="14.25" customHeight="1">
      <c r="BC286" s="13"/>
      <c r="BD286" s="13"/>
    </row>
    <row r="287" ht="14.25" customHeight="1">
      <c r="BC287" s="13"/>
      <c r="BD287" s="13"/>
    </row>
    <row r="288" ht="14.25" customHeight="1">
      <c r="BC288" s="13"/>
      <c r="BD288" s="13"/>
    </row>
    <row r="289" ht="14.25" customHeight="1">
      <c r="BC289" s="13"/>
      <c r="BD289" s="13"/>
    </row>
    <row r="290" ht="14.25" customHeight="1">
      <c r="BC290" s="13"/>
      <c r="BD290" s="13"/>
    </row>
    <row r="291" ht="14.25" customHeight="1">
      <c r="BC291" s="13"/>
      <c r="BD291" s="13"/>
    </row>
    <row r="292" ht="14.25" customHeight="1">
      <c r="BC292" s="13"/>
      <c r="BD292" s="13"/>
    </row>
    <row r="293" ht="14.25" customHeight="1">
      <c r="BC293" s="13"/>
      <c r="BD293" s="13"/>
    </row>
    <row r="294" ht="14.25" customHeight="1">
      <c r="BC294" s="13"/>
      <c r="BD294" s="13"/>
    </row>
    <row r="295" ht="14.25" customHeight="1">
      <c r="BC295" s="13"/>
      <c r="BD295" s="13"/>
    </row>
    <row r="296" ht="14.25" customHeight="1">
      <c r="BC296" s="13"/>
      <c r="BD296" s="13"/>
    </row>
    <row r="297" ht="14.25" customHeight="1">
      <c r="BC297" s="13"/>
      <c r="BD297" s="13"/>
    </row>
    <row r="298" ht="14.25" customHeight="1">
      <c r="BC298" s="13"/>
      <c r="BD298" s="13"/>
    </row>
    <row r="299" ht="14.25" customHeight="1">
      <c r="BC299" s="13"/>
      <c r="BD299" s="13"/>
    </row>
    <row r="300" ht="14.25" customHeight="1">
      <c r="BC300" s="13"/>
      <c r="BD300" s="13"/>
    </row>
    <row r="301" ht="14.25" customHeight="1">
      <c r="BC301" s="13"/>
      <c r="BD301" s="13"/>
    </row>
    <row r="302" ht="14.25" customHeight="1">
      <c r="BC302" s="13"/>
      <c r="BD302" s="13"/>
    </row>
    <row r="303" ht="14.25" customHeight="1">
      <c r="BC303" s="13"/>
      <c r="BD303" s="13"/>
    </row>
    <row r="304" ht="14.25" customHeight="1">
      <c r="BC304" s="13"/>
      <c r="BD304" s="13"/>
    </row>
    <row r="305" ht="14.25" customHeight="1">
      <c r="BC305" s="13"/>
      <c r="BD305" s="13"/>
    </row>
    <row r="306" ht="14.25" customHeight="1">
      <c r="BC306" s="13"/>
      <c r="BD306" s="13"/>
    </row>
    <row r="307" ht="14.25" customHeight="1">
      <c r="BC307" s="13"/>
      <c r="BD307" s="13"/>
    </row>
    <row r="308" ht="14.25" customHeight="1">
      <c r="BC308" s="13"/>
      <c r="BD308" s="13"/>
    </row>
    <row r="309" ht="14.25" customHeight="1">
      <c r="BC309" s="13"/>
      <c r="BD309" s="13"/>
    </row>
    <row r="310" ht="14.25" customHeight="1">
      <c r="BC310" s="13"/>
      <c r="BD310" s="13"/>
    </row>
    <row r="311" ht="14.25" customHeight="1">
      <c r="BC311" s="13"/>
      <c r="BD311" s="13"/>
    </row>
    <row r="312" ht="14.25" customHeight="1">
      <c r="BC312" s="13"/>
      <c r="BD312" s="13"/>
    </row>
    <row r="313" ht="14.25" customHeight="1">
      <c r="BC313" s="13"/>
      <c r="BD313" s="13"/>
    </row>
    <row r="314" ht="14.25" customHeight="1">
      <c r="BC314" s="13"/>
      <c r="BD314" s="13"/>
    </row>
    <row r="315" ht="14.25" customHeight="1">
      <c r="BC315" s="13"/>
      <c r="BD315" s="13"/>
    </row>
    <row r="316" ht="14.25" customHeight="1">
      <c r="BC316" s="13"/>
      <c r="BD316" s="13"/>
    </row>
    <row r="317" ht="14.25" customHeight="1">
      <c r="BC317" s="13"/>
      <c r="BD317" s="13"/>
    </row>
    <row r="318" ht="14.25" customHeight="1">
      <c r="BC318" s="13"/>
      <c r="BD318" s="13"/>
    </row>
    <row r="319" ht="14.25" customHeight="1">
      <c r="BC319" s="13"/>
      <c r="BD319" s="13"/>
    </row>
    <row r="320" ht="14.25" customHeight="1">
      <c r="BC320" s="13"/>
      <c r="BD320" s="13"/>
    </row>
    <row r="321" ht="14.25" customHeight="1">
      <c r="BC321" s="13"/>
      <c r="BD321" s="13"/>
    </row>
    <row r="322" ht="14.25" customHeight="1">
      <c r="BC322" s="13"/>
      <c r="BD322" s="13"/>
    </row>
    <row r="323" ht="14.25" customHeight="1">
      <c r="BC323" s="13"/>
      <c r="BD323" s="13"/>
    </row>
    <row r="324" ht="14.25" customHeight="1">
      <c r="BC324" s="13"/>
      <c r="BD324" s="13"/>
    </row>
    <row r="325" ht="14.25" customHeight="1">
      <c r="BC325" s="13"/>
      <c r="BD325" s="13"/>
    </row>
    <row r="326" ht="14.25" customHeight="1">
      <c r="BC326" s="13"/>
      <c r="BD326" s="13"/>
    </row>
    <row r="327" ht="14.25" customHeight="1">
      <c r="BC327" s="13"/>
      <c r="BD327" s="13"/>
    </row>
    <row r="328" ht="14.25" customHeight="1">
      <c r="BC328" s="13"/>
      <c r="BD328" s="13"/>
    </row>
    <row r="329" ht="14.25" customHeight="1">
      <c r="BC329" s="13"/>
      <c r="BD329" s="13"/>
    </row>
    <row r="330" ht="14.25" customHeight="1">
      <c r="BC330" s="13"/>
      <c r="BD330" s="13"/>
    </row>
    <row r="331" ht="14.25" customHeight="1">
      <c r="BC331" s="13"/>
      <c r="BD331" s="13"/>
    </row>
    <row r="332" ht="14.25" customHeight="1">
      <c r="BC332" s="13"/>
      <c r="BD332" s="13"/>
    </row>
    <row r="333" ht="14.25" customHeight="1">
      <c r="BC333" s="13"/>
      <c r="BD333" s="13"/>
    </row>
    <row r="334" ht="14.25" customHeight="1">
      <c r="BC334" s="13"/>
      <c r="BD334" s="13"/>
    </row>
    <row r="335" ht="14.25" customHeight="1">
      <c r="BC335" s="13"/>
      <c r="BD335" s="13"/>
    </row>
    <row r="336" ht="14.25" customHeight="1">
      <c r="BC336" s="13"/>
      <c r="BD336" s="13"/>
    </row>
    <row r="337" ht="14.25" customHeight="1">
      <c r="BC337" s="13"/>
      <c r="BD337" s="13"/>
    </row>
    <row r="338" ht="14.25" customHeight="1">
      <c r="BC338" s="13"/>
      <c r="BD338" s="13"/>
    </row>
    <row r="339" ht="14.25" customHeight="1">
      <c r="BC339" s="13"/>
      <c r="BD339" s="13"/>
    </row>
    <row r="340" ht="14.25" customHeight="1">
      <c r="BC340" s="13"/>
      <c r="BD340" s="13"/>
    </row>
    <row r="341" ht="14.25" customHeight="1">
      <c r="BC341" s="13"/>
      <c r="BD341" s="13"/>
    </row>
    <row r="342" ht="14.25" customHeight="1">
      <c r="BC342" s="13"/>
      <c r="BD342" s="13"/>
    </row>
    <row r="343" ht="14.25" customHeight="1">
      <c r="BC343" s="13"/>
      <c r="BD343" s="13"/>
    </row>
    <row r="344" ht="14.25" customHeight="1">
      <c r="BC344" s="13"/>
      <c r="BD344" s="13"/>
    </row>
    <row r="345" ht="14.25" customHeight="1">
      <c r="BC345" s="13"/>
      <c r="BD345" s="13"/>
    </row>
    <row r="346" ht="14.25" customHeight="1">
      <c r="BC346" s="13"/>
      <c r="BD346" s="13"/>
    </row>
    <row r="347" ht="14.25" customHeight="1">
      <c r="BC347" s="13"/>
      <c r="BD347" s="13"/>
    </row>
    <row r="348" ht="14.25" customHeight="1">
      <c r="BC348" s="13"/>
      <c r="BD348" s="13"/>
    </row>
    <row r="349" ht="14.25" customHeight="1">
      <c r="BC349" s="13"/>
      <c r="BD349" s="13"/>
    </row>
    <row r="350" ht="14.25" customHeight="1">
      <c r="BC350" s="13"/>
      <c r="BD350" s="13"/>
    </row>
    <row r="351" ht="14.25" customHeight="1">
      <c r="BC351" s="13"/>
      <c r="BD351" s="13"/>
    </row>
    <row r="352" ht="14.25" customHeight="1">
      <c r="BC352" s="13"/>
      <c r="BD352" s="13"/>
    </row>
    <row r="353" ht="14.25" customHeight="1">
      <c r="BC353" s="13"/>
      <c r="BD353" s="13"/>
    </row>
    <row r="354" ht="14.25" customHeight="1">
      <c r="BC354" s="13"/>
      <c r="BD354" s="13"/>
    </row>
    <row r="355" ht="14.25" customHeight="1">
      <c r="BC355" s="13"/>
      <c r="BD355" s="13"/>
    </row>
    <row r="356" ht="14.25" customHeight="1">
      <c r="BC356" s="13"/>
      <c r="BD356" s="13"/>
    </row>
    <row r="357" ht="14.25" customHeight="1">
      <c r="BC357" s="13"/>
      <c r="BD357" s="13"/>
    </row>
    <row r="358" ht="14.25" customHeight="1">
      <c r="BC358" s="13"/>
      <c r="BD358" s="13"/>
    </row>
    <row r="359" ht="14.25" customHeight="1">
      <c r="BC359" s="13"/>
      <c r="BD359" s="13"/>
    </row>
    <row r="360" ht="14.25" customHeight="1">
      <c r="BC360" s="13"/>
      <c r="BD360" s="13"/>
    </row>
    <row r="361" ht="14.25" customHeight="1">
      <c r="BC361" s="13"/>
      <c r="BD361" s="13"/>
    </row>
    <row r="362" ht="14.25" customHeight="1">
      <c r="BC362" s="13"/>
      <c r="BD362" s="13"/>
    </row>
    <row r="363" ht="14.25" customHeight="1">
      <c r="BC363" s="13"/>
      <c r="BD363" s="13"/>
    </row>
    <row r="364" ht="14.25" customHeight="1">
      <c r="BC364" s="13"/>
      <c r="BD364" s="13"/>
    </row>
    <row r="365" ht="14.25" customHeight="1">
      <c r="BC365" s="13"/>
      <c r="BD365" s="13"/>
    </row>
    <row r="366" ht="14.25" customHeight="1">
      <c r="BC366" s="13"/>
      <c r="BD366" s="13"/>
    </row>
    <row r="367" ht="14.25" customHeight="1">
      <c r="BC367" s="13"/>
      <c r="BD367" s="13"/>
    </row>
    <row r="368" ht="14.25" customHeight="1">
      <c r="BC368" s="13"/>
      <c r="BD368" s="13"/>
    </row>
    <row r="369" ht="14.25" customHeight="1">
      <c r="BC369" s="13"/>
      <c r="BD369" s="13"/>
    </row>
    <row r="370" ht="14.25" customHeight="1">
      <c r="BC370" s="13"/>
      <c r="BD370" s="13"/>
    </row>
    <row r="371" ht="14.25" customHeight="1">
      <c r="BC371" s="13"/>
      <c r="BD371" s="13"/>
    </row>
    <row r="372" ht="14.25" customHeight="1">
      <c r="BC372" s="13"/>
      <c r="BD372" s="13"/>
    </row>
    <row r="373" ht="14.25" customHeight="1">
      <c r="BC373" s="13"/>
      <c r="BD373" s="13"/>
    </row>
    <row r="374" ht="14.25" customHeight="1">
      <c r="BC374" s="13"/>
      <c r="BD374" s="13"/>
    </row>
    <row r="375" ht="14.25" customHeight="1">
      <c r="BC375" s="13"/>
      <c r="BD375" s="13"/>
    </row>
    <row r="376" ht="14.25" customHeight="1">
      <c r="BC376" s="13"/>
      <c r="BD376" s="13"/>
    </row>
    <row r="377" ht="14.25" customHeight="1">
      <c r="BC377" s="13"/>
      <c r="BD377" s="13"/>
    </row>
    <row r="378" ht="14.25" customHeight="1">
      <c r="BC378" s="13"/>
      <c r="BD378" s="13"/>
    </row>
    <row r="379" ht="14.25" customHeight="1">
      <c r="BC379" s="13"/>
      <c r="BD379" s="13"/>
    </row>
    <row r="380" ht="14.25" customHeight="1">
      <c r="BC380" s="13"/>
      <c r="BD380" s="13"/>
    </row>
    <row r="381" ht="14.25" customHeight="1">
      <c r="BC381" s="13"/>
      <c r="BD381" s="13"/>
    </row>
    <row r="382" ht="14.25" customHeight="1">
      <c r="BC382" s="13"/>
      <c r="BD382" s="13"/>
    </row>
    <row r="383" ht="14.25" customHeight="1">
      <c r="BC383" s="13"/>
      <c r="BD383" s="13"/>
    </row>
    <row r="384" ht="14.25" customHeight="1">
      <c r="BC384" s="13"/>
      <c r="BD384" s="13"/>
    </row>
    <row r="385" ht="14.25" customHeight="1">
      <c r="BC385" s="13"/>
      <c r="BD385" s="13"/>
    </row>
    <row r="386" ht="14.25" customHeight="1">
      <c r="BC386" s="13"/>
      <c r="BD386" s="13"/>
    </row>
    <row r="387" ht="14.25" customHeight="1">
      <c r="BC387" s="13"/>
      <c r="BD387" s="13"/>
    </row>
    <row r="388" ht="14.25" customHeight="1">
      <c r="BC388" s="13"/>
      <c r="BD388" s="13"/>
    </row>
    <row r="389" ht="14.25" customHeight="1">
      <c r="BC389" s="13"/>
      <c r="BD389" s="13"/>
    </row>
    <row r="390" ht="14.25" customHeight="1">
      <c r="BC390" s="13"/>
      <c r="BD390" s="13"/>
    </row>
    <row r="391" ht="14.25" customHeight="1">
      <c r="BC391" s="13"/>
      <c r="BD391" s="13"/>
    </row>
    <row r="392" ht="14.25" customHeight="1">
      <c r="BC392" s="13"/>
      <c r="BD392" s="13"/>
    </row>
    <row r="393" ht="14.25" customHeight="1">
      <c r="BC393" s="13"/>
      <c r="BD393" s="13"/>
    </row>
    <row r="394" ht="14.25" customHeight="1">
      <c r="BC394" s="13"/>
      <c r="BD394" s="13"/>
    </row>
    <row r="395" ht="14.25" customHeight="1">
      <c r="BC395" s="13"/>
      <c r="BD395" s="13"/>
    </row>
    <row r="396" ht="14.25" customHeight="1">
      <c r="BC396" s="13"/>
      <c r="BD396" s="13"/>
    </row>
    <row r="397" ht="14.25" customHeight="1">
      <c r="BC397" s="13"/>
      <c r="BD397" s="13"/>
    </row>
    <row r="398" ht="14.25" customHeight="1">
      <c r="BC398" s="13"/>
      <c r="BD398" s="13"/>
    </row>
    <row r="399" ht="14.25" customHeight="1">
      <c r="BC399" s="13"/>
      <c r="BD399" s="13"/>
    </row>
    <row r="400" ht="14.25" customHeight="1">
      <c r="BC400" s="13"/>
      <c r="BD400" s="13"/>
    </row>
    <row r="401" ht="14.25" customHeight="1">
      <c r="BC401" s="13"/>
      <c r="BD401" s="13"/>
    </row>
    <row r="402" ht="14.25" customHeight="1">
      <c r="BC402" s="13"/>
      <c r="BD402" s="13"/>
    </row>
    <row r="403" ht="14.25" customHeight="1">
      <c r="BC403" s="13"/>
      <c r="BD403" s="13"/>
    </row>
    <row r="404" ht="14.25" customHeight="1">
      <c r="BC404" s="13"/>
      <c r="BD404" s="13"/>
    </row>
    <row r="405" ht="14.25" customHeight="1">
      <c r="BC405" s="13"/>
      <c r="BD405" s="13"/>
    </row>
    <row r="406" ht="14.25" customHeight="1">
      <c r="BC406" s="13"/>
      <c r="BD406" s="13"/>
    </row>
    <row r="407" ht="14.25" customHeight="1">
      <c r="BC407" s="13"/>
      <c r="BD407" s="13"/>
    </row>
    <row r="408" ht="14.25" customHeight="1">
      <c r="BC408" s="13"/>
      <c r="BD408" s="13"/>
    </row>
    <row r="409" ht="14.25" customHeight="1">
      <c r="BC409" s="13"/>
      <c r="BD409" s="13"/>
    </row>
    <row r="410" ht="14.25" customHeight="1">
      <c r="BC410" s="13"/>
      <c r="BD410" s="13"/>
    </row>
    <row r="411" ht="14.25" customHeight="1">
      <c r="BC411" s="13"/>
      <c r="BD411" s="13"/>
    </row>
    <row r="412" ht="14.25" customHeight="1">
      <c r="BC412" s="13"/>
      <c r="BD412" s="13"/>
    </row>
    <row r="413" ht="14.25" customHeight="1">
      <c r="BC413" s="13"/>
      <c r="BD413" s="13"/>
    </row>
    <row r="414" ht="14.25" customHeight="1">
      <c r="BC414" s="13"/>
      <c r="BD414" s="13"/>
    </row>
    <row r="415" ht="14.25" customHeight="1">
      <c r="BC415" s="13"/>
      <c r="BD415" s="13"/>
    </row>
    <row r="416" ht="14.25" customHeight="1">
      <c r="BC416" s="13"/>
      <c r="BD416" s="13"/>
    </row>
    <row r="417" ht="14.25" customHeight="1">
      <c r="BC417" s="13"/>
      <c r="BD417" s="13"/>
    </row>
    <row r="418" ht="14.25" customHeight="1">
      <c r="BC418" s="13"/>
      <c r="BD418" s="13"/>
    </row>
    <row r="419" ht="14.25" customHeight="1">
      <c r="BC419" s="13"/>
      <c r="BD419" s="13"/>
    </row>
    <row r="420" ht="14.25" customHeight="1">
      <c r="BC420" s="13"/>
      <c r="BD420" s="13"/>
    </row>
    <row r="421" ht="14.25" customHeight="1">
      <c r="BC421" s="13"/>
      <c r="BD421" s="13"/>
    </row>
    <row r="422" ht="14.25" customHeight="1">
      <c r="BC422" s="13"/>
      <c r="BD422" s="13"/>
    </row>
    <row r="423" ht="14.25" customHeight="1">
      <c r="BC423" s="13"/>
      <c r="BD423" s="13"/>
    </row>
    <row r="424" ht="14.25" customHeight="1">
      <c r="BC424" s="13"/>
      <c r="BD424" s="13"/>
    </row>
    <row r="425" ht="14.25" customHeight="1">
      <c r="BC425" s="13"/>
      <c r="BD425" s="13"/>
    </row>
    <row r="426" ht="14.25" customHeight="1">
      <c r="BC426" s="13"/>
      <c r="BD426" s="13"/>
    </row>
    <row r="427" ht="14.25" customHeight="1">
      <c r="BC427" s="13"/>
      <c r="BD427" s="13"/>
    </row>
    <row r="428" ht="14.25" customHeight="1">
      <c r="BC428" s="13"/>
      <c r="BD428" s="13"/>
    </row>
    <row r="429" ht="14.25" customHeight="1">
      <c r="BC429" s="13"/>
      <c r="BD429" s="13"/>
    </row>
    <row r="430" ht="14.25" customHeight="1">
      <c r="BC430" s="13"/>
      <c r="BD430" s="13"/>
    </row>
    <row r="431" ht="14.25" customHeight="1">
      <c r="BC431" s="13"/>
      <c r="BD431" s="13"/>
    </row>
    <row r="432" ht="14.25" customHeight="1">
      <c r="BC432" s="13"/>
      <c r="BD432" s="13"/>
    </row>
    <row r="433" ht="14.25" customHeight="1">
      <c r="BC433" s="13"/>
      <c r="BD433" s="13"/>
    </row>
    <row r="434" ht="14.25" customHeight="1">
      <c r="BC434" s="13"/>
      <c r="BD434" s="13"/>
    </row>
    <row r="435" ht="14.25" customHeight="1">
      <c r="BC435" s="13"/>
      <c r="BD435" s="13"/>
    </row>
    <row r="436" ht="14.25" customHeight="1">
      <c r="BC436" s="13"/>
      <c r="BD436" s="13"/>
    </row>
    <row r="437" ht="14.25" customHeight="1">
      <c r="BC437" s="13"/>
      <c r="BD437" s="13"/>
    </row>
    <row r="438" ht="14.25" customHeight="1">
      <c r="BC438" s="13"/>
      <c r="BD438" s="13"/>
    </row>
    <row r="439" ht="14.25" customHeight="1">
      <c r="BC439" s="13"/>
      <c r="BD439" s="13"/>
    </row>
    <row r="440" ht="14.25" customHeight="1">
      <c r="BC440" s="13"/>
      <c r="BD440" s="13"/>
    </row>
    <row r="441" ht="14.25" customHeight="1">
      <c r="BC441" s="13"/>
      <c r="BD441" s="13"/>
    </row>
    <row r="442" ht="14.25" customHeight="1">
      <c r="BC442" s="13"/>
      <c r="BD442" s="13"/>
    </row>
    <row r="443" ht="14.25" customHeight="1">
      <c r="BC443" s="13"/>
      <c r="BD443" s="13"/>
    </row>
    <row r="444" ht="14.25" customHeight="1">
      <c r="BC444" s="13"/>
      <c r="BD444" s="13"/>
    </row>
    <row r="445" ht="14.25" customHeight="1">
      <c r="BC445" s="13"/>
      <c r="BD445" s="13"/>
    </row>
    <row r="446" ht="14.25" customHeight="1">
      <c r="BC446" s="13"/>
      <c r="BD446" s="13"/>
    </row>
    <row r="447" ht="14.25" customHeight="1">
      <c r="BC447" s="13"/>
      <c r="BD447" s="13"/>
    </row>
    <row r="448" ht="14.25" customHeight="1">
      <c r="BC448" s="13"/>
      <c r="BD448" s="13"/>
    </row>
    <row r="449" ht="14.25" customHeight="1">
      <c r="BC449" s="13"/>
      <c r="BD449" s="13"/>
    </row>
    <row r="450" ht="14.25" customHeight="1">
      <c r="BC450" s="13"/>
      <c r="BD450" s="13"/>
    </row>
    <row r="451" ht="14.25" customHeight="1">
      <c r="BC451" s="13"/>
      <c r="BD451" s="13"/>
    </row>
    <row r="452" ht="14.25" customHeight="1">
      <c r="BC452" s="13"/>
      <c r="BD452" s="13"/>
    </row>
    <row r="453" ht="14.25" customHeight="1">
      <c r="BC453" s="13"/>
      <c r="BD453" s="13"/>
    </row>
    <row r="454" ht="14.25" customHeight="1">
      <c r="BC454" s="13"/>
      <c r="BD454" s="13"/>
    </row>
    <row r="455" ht="14.25" customHeight="1">
      <c r="BC455" s="13"/>
      <c r="BD455" s="13"/>
    </row>
    <row r="456" ht="14.25" customHeight="1">
      <c r="BC456" s="13"/>
      <c r="BD456" s="13"/>
    </row>
    <row r="457" ht="14.25" customHeight="1">
      <c r="BC457" s="13"/>
      <c r="BD457" s="13"/>
    </row>
    <row r="458" ht="14.25" customHeight="1">
      <c r="BC458" s="13"/>
      <c r="BD458" s="13"/>
    </row>
    <row r="459" ht="14.25" customHeight="1">
      <c r="BC459" s="13"/>
      <c r="BD459" s="13"/>
    </row>
    <row r="460" ht="14.25" customHeight="1">
      <c r="BC460" s="13"/>
      <c r="BD460" s="13"/>
    </row>
    <row r="461" ht="14.25" customHeight="1">
      <c r="BC461" s="13"/>
      <c r="BD461" s="13"/>
    </row>
    <row r="462" ht="14.25" customHeight="1">
      <c r="BC462" s="13"/>
      <c r="BD462" s="13"/>
    </row>
    <row r="463" ht="14.25" customHeight="1">
      <c r="BC463" s="13"/>
      <c r="BD463" s="13"/>
    </row>
    <row r="464" ht="14.25" customHeight="1">
      <c r="BC464" s="13"/>
      <c r="BD464" s="13"/>
    </row>
    <row r="465" ht="14.25" customHeight="1">
      <c r="BC465" s="13"/>
      <c r="BD465" s="13"/>
    </row>
    <row r="466" ht="14.25" customHeight="1">
      <c r="BC466" s="13"/>
      <c r="BD466" s="13"/>
    </row>
    <row r="467" ht="14.25" customHeight="1">
      <c r="BC467" s="13"/>
      <c r="BD467" s="13"/>
    </row>
    <row r="468" ht="14.25" customHeight="1">
      <c r="BC468" s="13"/>
      <c r="BD468" s="13"/>
    </row>
    <row r="469" ht="14.25" customHeight="1">
      <c r="BC469" s="13"/>
      <c r="BD469" s="13"/>
    </row>
    <row r="470" ht="14.25" customHeight="1">
      <c r="BC470" s="13"/>
      <c r="BD470" s="13"/>
    </row>
    <row r="471" ht="14.25" customHeight="1">
      <c r="BC471" s="13"/>
      <c r="BD471" s="13"/>
    </row>
    <row r="472" ht="14.25" customHeight="1">
      <c r="BC472" s="13"/>
      <c r="BD472" s="13"/>
    </row>
    <row r="473" ht="14.25" customHeight="1">
      <c r="BC473" s="13"/>
      <c r="BD473" s="13"/>
    </row>
    <row r="474" ht="14.25" customHeight="1">
      <c r="BC474" s="13"/>
      <c r="BD474" s="13"/>
    </row>
    <row r="475" ht="14.25" customHeight="1">
      <c r="BC475" s="13"/>
      <c r="BD475" s="13"/>
    </row>
    <row r="476" ht="14.25" customHeight="1">
      <c r="BC476" s="13"/>
      <c r="BD476" s="13"/>
    </row>
    <row r="477" ht="14.25" customHeight="1">
      <c r="BC477" s="13"/>
      <c r="BD477" s="13"/>
    </row>
    <row r="478" ht="14.25" customHeight="1">
      <c r="BC478" s="13"/>
      <c r="BD478" s="13"/>
    </row>
    <row r="479" ht="14.25" customHeight="1">
      <c r="BC479" s="13"/>
      <c r="BD479" s="13"/>
    </row>
    <row r="480" ht="14.25" customHeight="1">
      <c r="BC480" s="13"/>
      <c r="BD480" s="13"/>
    </row>
    <row r="481" ht="14.25" customHeight="1">
      <c r="BC481" s="13"/>
      <c r="BD481" s="13"/>
    </row>
    <row r="482" ht="14.25" customHeight="1">
      <c r="BC482" s="13"/>
      <c r="BD482" s="13"/>
    </row>
    <row r="483" ht="14.25" customHeight="1">
      <c r="BC483" s="13"/>
      <c r="BD483" s="13"/>
    </row>
    <row r="484" ht="14.25" customHeight="1">
      <c r="BC484" s="13"/>
      <c r="BD484" s="13"/>
    </row>
    <row r="485" ht="14.25" customHeight="1">
      <c r="BC485" s="13"/>
      <c r="BD485" s="13"/>
    </row>
    <row r="486" ht="14.25" customHeight="1">
      <c r="BC486" s="13"/>
      <c r="BD486" s="13"/>
    </row>
    <row r="487" ht="14.25" customHeight="1">
      <c r="BC487" s="13"/>
      <c r="BD487" s="13"/>
    </row>
    <row r="488" ht="14.25" customHeight="1">
      <c r="BC488" s="13"/>
      <c r="BD488" s="13"/>
    </row>
    <row r="489" ht="14.25" customHeight="1">
      <c r="BC489" s="13"/>
      <c r="BD489" s="13"/>
    </row>
    <row r="490" ht="14.25" customHeight="1">
      <c r="BC490" s="13"/>
      <c r="BD490" s="13"/>
    </row>
    <row r="491" ht="14.25" customHeight="1">
      <c r="BC491" s="13"/>
      <c r="BD491" s="13"/>
    </row>
    <row r="492" ht="14.25" customHeight="1">
      <c r="BC492" s="13"/>
      <c r="BD492" s="13"/>
    </row>
    <row r="493" ht="14.25" customHeight="1">
      <c r="BC493" s="13"/>
      <c r="BD493" s="13"/>
    </row>
    <row r="494" ht="14.25" customHeight="1">
      <c r="BC494" s="13"/>
      <c r="BD494" s="13"/>
    </row>
    <row r="495" ht="14.25" customHeight="1">
      <c r="BC495" s="13"/>
      <c r="BD495" s="13"/>
    </row>
    <row r="496" ht="14.25" customHeight="1">
      <c r="BC496" s="13"/>
      <c r="BD496" s="13"/>
    </row>
    <row r="497" ht="14.25" customHeight="1">
      <c r="BC497" s="13"/>
      <c r="BD497" s="13"/>
    </row>
    <row r="498" ht="14.25" customHeight="1">
      <c r="BC498" s="13"/>
      <c r="BD498" s="13"/>
    </row>
    <row r="499" ht="14.25" customHeight="1">
      <c r="BC499" s="13"/>
      <c r="BD499" s="13"/>
    </row>
    <row r="500" ht="14.25" customHeight="1">
      <c r="BC500" s="13"/>
      <c r="BD500" s="13"/>
    </row>
    <row r="501" ht="14.25" customHeight="1">
      <c r="BC501" s="13"/>
      <c r="BD501" s="13"/>
    </row>
    <row r="502" ht="14.25" customHeight="1">
      <c r="BC502" s="13"/>
      <c r="BD502" s="13"/>
    </row>
    <row r="503" ht="14.25" customHeight="1">
      <c r="BC503" s="13"/>
      <c r="BD503" s="13"/>
    </row>
    <row r="504" ht="14.25" customHeight="1">
      <c r="BC504" s="13"/>
      <c r="BD504" s="13"/>
    </row>
    <row r="505" ht="14.25" customHeight="1">
      <c r="BC505" s="13"/>
      <c r="BD505" s="13"/>
    </row>
    <row r="506" ht="14.25" customHeight="1">
      <c r="BC506" s="13"/>
      <c r="BD506" s="13"/>
    </row>
    <row r="507" ht="14.25" customHeight="1">
      <c r="BC507" s="13"/>
      <c r="BD507" s="13"/>
    </row>
    <row r="508" ht="14.25" customHeight="1">
      <c r="BC508" s="13"/>
      <c r="BD508" s="13"/>
    </row>
    <row r="509" ht="14.25" customHeight="1">
      <c r="BC509" s="13"/>
      <c r="BD509" s="13"/>
    </row>
    <row r="510" ht="14.25" customHeight="1">
      <c r="BC510" s="13"/>
      <c r="BD510" s="13"/>
    </row>
    <row r="511" ht="14.25" customHeight="1">
      <c r="BC511" s="13"/>
      <c r="BD511" s="13"/>
    </row>
    <row r="512" ht="14.25" customHeight="1">
      <c r="BC512" s="13"/>
      <c r="BD512" s="13"/>
    </row>
    <row r="513" ht="14.25" customHeight="1">
      <c r="BC513" s="13"/>
      <c r="BD513" s="13"/>
    </row>
    <row r="514" ht="14.25" customHeight="1">
      <c r="BC514" s="13"/>
      <c r="BD514" s="13"/>
    </row>
    <row r="515" ht="14.25" customHeight="1">
      <c r="BC515" s="13"/>
      <c r="BD515" s="13"/>
    </row>
    <row r="516" ht="14.25" customHeight="1">
      <c r="BC516" s="13"/>
      <c r="BD516" s="13"/>
    </row>
    <row r="517" ht="14.25" customHeight="1">
      <c r="BC517" s="13"/>
      <c r="BD517" s="13"/>
    </row>
    <row r="518" ht="14.25" customHeight="1">
      <c r="BC518" s="13"/>
      <c r="BD518" s="13"/>
    </row>
    <row r="519" ht="14.25" customHeight="1">
      <c r="BC519" s="13"/>
      <c r="BD519" s="13"/>
    </row>
    <row r="520" ht="14.25" customHeight="1">
      <c r="BC520" s="13"/>
      <c r="BD520" s="13"/>
    </row>
    <row r="521" ht="14.25" customHeight="1">
      <c r="BC521" s="13"/>
      <c r="BD521" s="13"/>
    </row>
    <row r="522" ht="14.25" customHeight="1">
      <c r="BC522" s="13"/>
      <c r="BD522" s="13"/>
    </row>
    <row r="523" ht="14.25" customHeight="1">
      <c r="BC523" s="13"/>
      <c r="BD523" s="13"/>
    </row>
    <row r="524" ht="14.25" customHeight="1">
      <c r="BC524" s="13"/>
      <c r="BD524" s="13"/>
    </row>
    <row r="525" ht="14.25" customHeight="1">
      <c r="BC525" s="13"/>
      <c r="BD525" s="13"/>
    </row>
    <row r="526" ht="14.25" customHeight="1">
      <c r="BC526" s="13"/>
      <c r="BD526" s="13"/>
    </row>
    <row r="527" ht="14.25" customHeight="1">
      <c r="BC527" s="13"/>
      <c r="BD527" s="13"/>
    </row>
    <row r="528" ht="14.25" customHeight="1">
      <c r="BC528" s="13"/>
      <c r="BD528" s="13"/>
    </row>
    <row r="529" ht="14.25" customHeight="1">
      <c r="BC529" s="13"/>
      <c r="BD529" s="13"/>
    </row>
    <row r="530" ht="14.25" customHeight="1">
      <c r="BC530" s="13"/>
      <c r="BD530" s="13"/>
    </row>
    <row r="531" ht="14.25" customHeight="1">
      <c r="BC531" s="13"/>
      <c r="BD531" s="13"/>
    </row>
    <row r="532" ht="14.25" customHeight="1">
      <c r="BC532" s="13"/>
      <c r="BD532" s="13"/>
    </row>
    <row r="533" ht="14.25" customHeight="1">
      <c r="BC533" s="13"/>
      <c r="BD533" s="13"/>
    </row>
    <row r="534" ht="14.25" customHeight="1">
      <c r="BC534" s="13"/>
      <c r="BD534" s="13"/>
    </row>
    <row r="535" ht="14.25" customHeight="1">
      <c r="BC535" s="13"/>
      <c r="BD535" s="13"/>
    </row>
    <row r="536" ht="14.25" customHeight="1">
      <c r="BC536" s="13"/>
      <c r="BD536" s="13"/>
    </row>
    <row r="537" ht="14.25" customHeight="1">
      <c r="BC537" s="13"/>
      <c r="BD537" s="13"/>
    </row>
    <row r="538" ht="14.25" customHeight="1">
      <c r="BC538" s="13"/>
      <c r="BD538" s="13"/>
    </row>
    <row r="539" ht="14.25" customHeight="1">
      <c r="BC539" s="13"/>
      <c r="BD539" s="13"/>
    </row>
    <row r="540" ht="14.25" customHeight="1">
      <c r="BC540" s="13"/>
      <c r="BD540" s="13"/>
    </row>
    <row r="541" ht="14.25" customHeight="1">
      <c r="BC541" s="13"/>
      <c r="BD541" s="13"/>
    </row>
    <row r="542" ht="14.25" customHeight="1">
      <c r="BC542" s="13"/>
      <c r="BD542" s="13"/>
    </row>
    <row r="543" ht="14.25" customHeight="1">
      <c r="BC543" s="13"/>
      <c r="BD543" s="13"/>
    </row>
    <row r="544" ht="14.25" customHeight="1">
      <c r="BC544" s="13"/>
      <c r="BD544" s="13"/>
    </row>
    <row r="545" ht="14.25" customHeight="1">
      <c r="BC545" s="13"/>
      <c r="BD545" s="13"/>
    </row>
    <row r="546" ht="14.25" customHeight="1">
      <c r="BC546" s="13"/>
      <c r="BD546" s="13"/>
    </row>
    <row r="547" ht="14.25" customHeight="1">
      <c r="BC547" s="13"/>
      <c r="BD547" s="13"/>
    </row>
    <row r="548" ht="14.25" customHeight="1">
      <c r="BC548" s="13"/>
      <c r="BD548" s="13"/>
    </row>
    <row r="549" ht="14.25" customHeight="1">
      <c r="BC549" s="13"/>
      <c r="BD549" s="13"/>
    </row>
    <row r="550" ht="14.25" customHeight="1">
      <c r="BC550" s="13"/>
      <c r="BD550" s="13"/>
    </row>
    <row r="551" ht="14.25" customHeight="1">
      <c r="BC551" s="13"/>
      <c r="BD551" s="13"/>
    </row>
    <row r="552" ht="14.25" customHeight="1">
      <c r="BC552" s="13"/>
      <c r="BD552" s="13"/>
    </row>
    <row r="553" ht="14.25" customHeight="1">
      <c r="BC553" s="13"/>
      <c r="BD553" s="13"/>
    </row>
    <row r="554" ht="14.25" customHeight="1">
      <c r="BC554" s="13"/>
      <c r="BD554" s="13"/>
    </row>
    <row r="555" ht="14.25" customHeight="1">
      <c r="BC555" s="13"/>
      <c r="BD555" s="13"/>
    </row>
    <row r="556" ht="14.25" customHeight="1">
      <c r="BC556" s="13"/>
      <c r="BD556" s="13"/>
    </row>
    <row r="557" ht="14.25" customHeight="1">
      <c r="BC557" s="13"/>
      <c r="BD557" s="13"/>
    </row>
    <row r="558" ht="14.25" customHeight="1">
      <c r="BC558" s="13"/>
      <c r="BD558" s="13"/>
    </row>
    <row r="559" ht="14.25" customHeight="1">
      <c r="BC559" s="13"/>
      <c r="BD559" s="13"/>
    </row>
    <row r="560" ht="14.25" customHeight="1">
      <c r="BC560" s="13"/>
      <c r="BD560" s="13"/>
    </row>
    <row r="561" ht="14.25" customHeight="1">
      <c r="BC561" s="13"/>
      <c r="BD561" s="13"/>
    </row>
    <row r="562" ht="14.25" customHeight="1">
      <c r="BC562" s="13"/>
      <c r="BD562" s="13"/>
    </row>
    <row r="563" ht="14.25" customHeight="1">
      <c r="BC563" s="13"/>
      <c r="BD563" s="13"/>
    </row>
    <row r="564" ht="14.25" customHeight="1">
      <c r="BC564" s="13"/>
      <c r="BD564" s="13"/>
    </row>
    <row r="565" ht="14.25" customHeight="1">
      <c r="BC565" s="13"/>
      <c r="BD565" s="13"/>
    </row>
    <row r="566" ht="14.25" customHeight="1">
      <c r="BC566" s="13"/>
      <c r="BD566" s="13"/>
    </row>
    <row r="567" ht="14.25" customHeight="1">
      <c r="BC567" s="13"/>
      <c r="BD567" s="13"/>
    </row>
    <row r="568" ht="14.25" customHeight="1">
      <c r="BC568" s="13"/>
      <c r="BD568" s="13"/>
    </row>
    <row r="569" ht="14.25" customHeight="1">
      <c r="BC569" s="13"/>
      <c r="BD569" s="13"/>
    </row>
    <row r="570" ht="14.25" customHeight="1">
      <c r="BC570" s="13"/>
      <c r="BD570" s="13"/>
    </row>
    <row r="571" ht="14.25" customHeight="1">
      <c r="BC571" s="13"/>
      <c r="BD571" s="13"/>
    </row>
    <row r="572" ht="14.25" customHeight="1">
      <c r="BC572" s="13"/>
      <c r="BD572" s="13"/>
    </row>
    <row r="573" ht="14.25" customHeight="1">
      <c r="BC573" s="13"/>
      <c r="BD573" s="13"/>
    </row>
    <row r="574" ht="14.25" customHeight="1">
      <c r="BC574" s="13"/>
      <c r="BD574" s="13"/>
    </row>
    <row r="575" ht="14.25" customHeight="1">
      <c r="BC575" s="13"/>
      <c r="BD575" s="13"/>
    </row>
    <row r="576" ht="14.25" customHeight="1">
      <c r="BC576" s="13"/>
      <c r="BD576" s="13"/>
    </row>
    <row r="577" ht="14.25" customHeight="1">
      <c r="BC577" s="13"/>
      <c r="BD577" s="13"/>
    </row>
    <row r="578" ht="14.25" customHeight="1">
      <c r="BC578" s="13"/>
      <c r="BD578" s="13"/>
    </row>
    <row r="579" ht="14.25" customHeight="1">
      <c r="BC579" s="13"/>
      <c r="BD579" s="13"/>
    </row>
    <row r="580" ht="14.25" customHeight="1">
      <c r="BC580" s="13"/>
      <c r="BD580" s="13"/>
    </row>
    <row r="581" ht="14.25" customHeight="1">
      <c r="BC581" s="13"/>
      <c r="BD581" s="13"/>
    </row>
    <row r="582" ht="14.25" customHeight="1">
      <c r="BC582" s="13"/>
      <c r="BD582" s="13"/>
    </row>
    <row r="583" ht="14.25" customHeight="1">
      <c r="BC583" s="13"/>
      <c r="BD583" s="13"/>
    </row>
    <row r="584" ht="14.25" customHeight="1">
      <c r="BC584" s="13"/>
      <c r="BD584" s="13"/>
    </row>
    <row r="585" ht="14.25" customHeight="1">
      <c r="BC585" s="13"/>
      <c r="BD585" s="13"/>
    </row>
    <row r="586" ht="14.25" customHeight="1">
      <c r="BC586" s="13"/>
      <c r="BD586" s="13"/>
    </row>
    <row r="587" ht="14.25" customHeight="1">
      <c r="BC587" s="13"/>
      <c r="BD587" s="13"/>
    </row>
    <row r="588" ht="14.25" customHeight="1">
      <c r="BC588" s="13"/>
      <c r="BD588" s="13"/>
    </row>
    <row r="589" ht="14.25" customHeight="1">
      <c r="BC589" s="13"/>
      <c r="BD589" s="13"/>
    </row>
    <row r="590" ht="14.25" customHeight="1">
      <c r="BC590" s="13"/>
      <c r="BD590" s="13"/>
    </row>
    <row r="591" ht="14.25" customHeight="1">
      <c r="BC591" s="13"/>
      <c r="BD591" s="13"/>
    </row>
    <row r="592" ht="14.25" customHeight="1">
      <c r="BC592" s="13"/>
      <c r="BD592" s="13"/>
    </row>
    <row r="593" ht="14.25" customHeight="1">
      <c r="BC593" s="13"/>
      <c r="BD593" s="13"/>
    </row>
    <row r="594" ht="14.25" customHeight="1">
      <c r="BC594" s="13"/>
      <c r="BD594" s="13"/>
    </row>
    <row r="595" ht="14.25" customHeight="1">
      <c r="BC595" s="13"/>
      <c r="BD595" s="13"/>
    </row>
    <row r="596" ht="14.25" customHeight="1">
      <c r="BC596" s="13"/>
      <c r="BD596" s="13"/>
    </row>
    <row r="597" ht="14.25" customHeight="1">
      <c r="BC597" s="13"/>
      <c r="BD597" s="13"/>
    </row>
    <row r="598" ht="14.25" customHeight="1">
      <c r="BC598" s="13"/>
      <c r="BD598" s="13"/>
    </row>
    <row r="599" ht="14.25" customHeight="1">
      <c r="BC599" s="13"/>
      <c r="BD599" s="13"/>
    </row>
    <row r="600" ht="14.25" customHeight="1">
      <c r="BC600" s="13"/>
      <c r="BD600" s="13"/>
    </row>
    <row r="601" ht="14.25" customHeight="1">
      <c r="BC601" s="13"/>
      <c r="BD601" s="13"/>
    </row>
    <row r="602" ht="14.25" customHeight="1">
      <c r="BC602" s="13"/>
      <c r="BD602" s="13"/>
    </row>
    <row r="603" ht="14.25" customHeight="1">
      <c r="BC603" s="13"/>
      <c r="BD603" s="13"/>
    </row>
    <row r="604" ht="14.25" customHeight="1">
      <c r="BC604" s="13"/>
      <c r="BD604" s="13"/>
    </row>
    <row r="605" ht="14.25" customHeight="1">
      <c r="BC605" s="13"/>
      <c r="BD605" s="13"/>
    </row>
    <row r="606" ht="14.25" customHeight="1">
      <c r="BC606" s="13"/>
      <c r="BD606" s="13"/>
    </row>
    <row r="607" ht="14.25" customHeight="1">
      <c r="BC607" s="13"/>
      <c r="BD607" s="13"/>
    </row>
    <row r="608" ht="14.25" customHeight="1">
      <c r="BC608" s="13"/>
      <c r="BD608" s="13"/>
    </row>
    <row r="609" ht="14.25" customHeight="1">
      <c r="BC609" s="13"/>
      <c r="BD609" s="13"/>
    </row>
    <row r="610" ht="14.25" customHeight="1">
      <c r="BC610" s="13"/>
      <c r="BD610" s="13"/>
    </row>
    <row r="611" ht="14.25" customHeight="1">
      <c r="BC611" s="13"/>
      <c r="BD611" s="13"/>
    </row>
    <row r="612" ht="14.25" customHeight="1">
      <c r="BC612" s="13"/>
      <c r="BD612" s="13"/>
    </row>
    <row r="613" ht="14.25" customHeight="1">
      <c r="BC613" s="13"/>
      <c r="BD613" s="13"/>
    </row>
    <row r="614" ht="14.25" customHeight="1">
      <c r="BC614" s="13"/>
      <c r="BD614" s="13"/>
    </row>
    <row r="615" ht="14.25" customHeight="1">
      <c r="BC615" s="13"/>
      <c r="BD615" s="13"/>
    </row>
    <row r="616" ht="14.25" customHeight="1">
      <c r="BC616" s="13"/>
      <c r="BD616" s="13"/>
    </row>
    <row r="617" ht="14.25" customHeight="1">
      <c r="BC617" s="13"/>
      <c r="BD617" s="13"/>
    </row>
    <row r="618" ht="14.25" customHeight="1">
      <c r="BC618" s="13"/>
      <c r="BD618" s="13"/>
    </row>
    <row r="619" ht="14.25" customHeight="1">
      <c r="BC619" s="13"/>
      <c r="BD619" s="13"/>
    </row>
    <row r="620" ht="14.25" customHeight="1">
      <c r="BC620" s="13"/>
      <c r="BD620" s="13"/>
    </row>
    <row r="621" ht="14.25" customHeight="1">
      <c r="BC621" s="13"/>
      <c r="BD621" s="13"/>
    </row>
    <row r="622" ht="14.25" customHeight="1">
      <c r="BC622" s="13"/>
      <c r="BD622" s="13"/>
    </row>
    <row r="623" ht="14.25" customHeight="1">
      <c r="BC623" s="13"/>
      <c r="BD623" s="13"/>
    </row>
    <row r="624" ht="14.25" customHeight="1">
      <c r="BC624" s="13"/>
      <c r="BD624" s="13"/>
    </row>
    <row r="625" ht="14.25" customHeight="1">
      <c r="BC625" s="13"/>
      <c r="BD625" s="13"/>
    </row>
    <row r="626" ht="14.25" customHeight="1">
      <c r="BC626" s="13"/>
      <c r="BD626" s="13"/>
    </row>
    <row r="627" ht="14.25" customHeight="1">
      <c r="BC627" s="13"/>
      <c r="BD627" s="13"/>
    </row>
    <row r="628" ht="14.25" customHeight="1">
      <c r="BC628" s="13"/>
      <c r="BD628" s="13"/>
    </row>
    <row r="629" ht="14.25" customHeight="1">
      <c r="BC629" s="13"/>
      <c r="BD629" s="13"/>
    </row>
    <row r="630" ht="14.25" customHeight="1">
      <c r="BC630" s="13"/>
      <c r="BD630" s="13"/>
    </row>
    <row r="631" ht="14.25" customHeight="1">
      <c r="BC631" s="13"/>
      <c r="BD631" s="13"/>
    </row>
    <row r="632" ht="14.25" customHeight="1">
      <c r="BC632" s="13"/>
      <c r="BD632" s="13"/>
    </row>
    <row r="633" ht="14.25" customHeight="1">
      <c r="BC633" s="13"/>
      <c r="BD633" s="13"/>
    </row>
    <row r="634" ht="14.25" customHeight="1">
      <c r="BC634" s="13"/>
      <c r="BD634" s="13"/>
    </row>
    <row r="635" ht="14.25" customHeight="1">
      <c r="BC635" s="13"/>
      <c r="BD635" s="13"/>
    </row>
    <row r="636" ht="14.25" customHeight="1">
      <c r="BC636" s="13"/>
      <c r="BD636" s="13"/>
    </row>
    <row r="637" ht="14.25" customHeight="1">
      <c r="BC637" s="13"/>
      <c r="BD637" s="13"/>
    </row>
    <row r="638" ht="14.25" customHeight="1">
      <c r="BC638" s="13"/>
      <c r="BD638" s="13"/>
    </row>
    <row r="639" ht="14.25" customHeight="1">
      <c r="BC639" s="13"/>
      <c r="BD639" s="13"/>
    </row>
    <row r="640" ht="14.25" customHeight="1">
      <c r="BC640" s="13"/>
      <c r="BD640" s="13"/>
    </row>
    <row r="641" ht="14.25" customHeight="1">
      <c r="BC641" s="13"/>
      <c r="BD641" s="13"/>
    </row>
    <row r="642" ht="14.25" customHeight="1">
      <c r="BC642" s="13"/>
      <c r="BD642" s="13"/>
    </row>
    <row r="643" ht="14.25" customHeight="1">
      <c r="BC643" s="13"/>
      <c r="BD643" s="13"/>
    </row>
    <row r="644" ht="14.25" customHeight="1">
      <c r="BC644" s="13"/>
      <c r="BD644" s="13"/>
    </row>
    <row r="645" ht="14.25" customHeight="1">
      <c r="BC645" s="13"/>
      <c r="BD645" s="13"/>
    </row>
    <row r="646" ht="14.25" customHeight="1">
      <c r="BC646" s="13"/>
      <c r="BD646" s="13"/>
    </row>
    <row r="647" ht="14.25" customHeight="1">
      <c r="BC647" s="13"/>
      <c r="BD647" s="13"/>
    </row>
    <row r="648" ht="14.25" customHeight="1">
      <c r="BC648" s="13"/>
      <c r="BD648" s="13"/>
    </row>
    <row r="649" ht="14.25" customHeight="1">
      <c r="BC649" s="13"/>
      <c r="BD649" s="13"/>
    </row>
    <row r="650" ht="14.25" customHeight="1">
      <c r="BC650" s="13"/>
      <c r="BD650" s="13"/>
    </row>
    <row r="651" ht="14.25" customHeight="1">
      <c r="BC651" s="13"/>
      <c r="BD651" s="13"/>
    </row>
    <row r="652" ht="14.25" customHeight="1">
      <c r="BC652" s="13"/>
      <c r="BD652" s="13"/>
    </row>
    <row r="653" ht="14.25" customHeight="1">
      <c r="BC653" s="13"/>
      <c r="BD653" s="13"/>
    </row>
    <row r="654" ht="14.25" customHeight="1">
      <c r="BC654" s="13"/>
      <c r="BD654" s="13"/>
    </row>
    <row r="655" ht="14.25" customHeight="1">
      <c r="BC655" s="13"/>
      <c r="BD655" s="13"/>
    </row>
    <row r="656" ht="14.25" customHeight="1">
      <c r="BC656" s="13"/>
      <c r="BD656" s="13"/>
    </row>
    <row r="657" ht="14.25" customHeight="1">
      <c r="BC657" s="13"/>
      <c r="BD657" s="13"/>
    </row>
    <row r="658" ht="14.25" customHeight="1">
      <c r="BC658" s="13"/>
      <c r="BD658" s="13"/>
    </row>
    <row r="659" ht="14.25" customHeight="1">
      <c r="BC659" s="13"/>
      <c r="BD659" s="13"/>
    </row>
    <row r="660" ht="14.25" customHeight="1">
      <c r="BC660" s="13"/>
      <c r="BD660" s="13"/>
    </row>
    <row r="661" ht="14.25" customHeight="1">
      <c r="BC661" s="13"/>
      <c r="BD661" s="13"/>
    </row>
    <row r="662" ht="14.25" customHeight="1">
      <c r="BC662" s="13"/>
      <c r="BD662" s="13"/>
    </row>
    <row r="663" ht="14.25" customHeight="1">
      <c r="BC663" s="13"/>
      <c r="BD663" s="13"/>
    </row>
    <row r="664" ht="14.25" customHeight="1">
      <c r="BC664" s="13"/>
      <c r="BD664" s="13"/>
    </row>
    <row r="665" ht="14.25" customHeight="1">
      <c r="BC665" s="13"/>
      <c r="BD665" s="13"/>
    </row>
    <row r="666" ht="14.25" customHeight="1">
      <c r="BC666" s="13"/>
      <c r="BD666" s="13"/>
    </row>
    <row r="667" ht="14.25" customHeight="1">
      <c r="BC667" s="13"/>
      <c r="BD667" s="13"/>
    </row>
    <row r="668" ht="14.25" customHeight="1">
      <c r="BC668" s="13"/>
      <c r="BD668" s="13"/>
    </row>
    <row r="669" ht="14.25" customHeight="1">
      <c r="BC669" s="13"/>
      <c r="BD669" s="13"/>
    </row>
    <row r="670" ht="14.25" customHeight="1">
      <c r="BC670" s="13"/>
      <c r="BD670" s="13"/>
    </row>
    <row r="671" ht="14.25" customHeight="1">
      <c r="BC671" s="13"/>
      <c r="BD671" s="13"/>
    </row>
    <row r="672" ht="14.25" customHeight="1">
      <c r="BC672" s="13"/>
      <c r="BD672" s="13"/>
    </row>
    <row r="673" ht="14.25" customHeight="1">
      <c r="BC673" s="13"/>
      <c r="BD673" s="13"/>
    </row>
    <row r="674" ht="14.25" customHeight="1">
      <c r="BC674" s="13"/>
      <c r="BD674" s="13"/>
    </row>
    <row r="675" ht="14.25" customHeight="1">
      <c r="BC675" s="13"/>
      <c r="BD675" s="13"/>
    </row>
    <row r="676" ht="14.25" customHeight="1">
      <c r="BC676" s="13"/>
      <c r="BD676" s="13"/>
    </row>
    <row r="677" ht="14.25" customHeight="1">
      <c r="BC677" s="13"/>
      <c r="BD677" s="13"/>
    </row>
    <row r="678" ht="14.25" customHeight="1">
      <c r="BC678" s="13"/>
      <c r="BD678" s="13"/>
    </row>
    <row r="679" ht="14.25" customHeight="1">
      <c r="BC679" s="13"/>
      <c r="BD679" s="13"/>
    </row>
    <row r="680" ht="14.25" customHeight="1">
      <c r="BC680" s="13"/>
      <c r="BD680" s="13"/>
    </row>
    <row r="681" ht="14.25" customHeight="1">
      <c r="BC681" s="13"/>
      <c r="BD681" s="13"/>
    </row>
    <row r="682" ht="14.25" customHeight="1">
      <c r="BC682" s="13"/>
      <c r="BD682" s="13"/>
    </row>
    <row r="683" ht="14.25" customHeight="1">
      <c r="BC683" s="13"/>
      <c r="BD683" s="13"/>
    </row>
    <row r="684" ht="14.25" customHeight="1">
      <c r="BC684" s="13"/>
      <c r="BD684" s="13"/>
    </row>
    <row r="685" ht="14.25" customHeight="1">
      <c r="BC685" s="13"/>
      <c r="BD685" s="13"/>
    </row>
    <row r="686" ht="14.25" customHeight="1">
      <c r="BC686" s="13"/>
      <c r="BD686" s="13"/>
    </row>
    <row r="687" ht="14.25" customHeight="1">
      <c r="BC687" s="13"/>
      <c r="BD687" s="13"/>
    </row>
    <row r="688" ht="14.25" customHeight="1">
      <c r="BC688" s="13"/>
      <c r="BD688" s="13"/>
    </row>
    <row r="689" ht="14.25" customHeight="1">
      <c r="BC689" s="13"/>
      <c r="BD689" s="13"/>
    </row>
    <row r="690" ht="14.25" customHeight="1">
      <c r="BC690" s="13"/>
      <c r="BD690" s="13"/>
    </row>
    <row r="691" ht="14.25" customHeight="1">
      <c r="BC691" s="13"/>
      <c r="BD691" s="13"/>
    </row>
    <row r="692" ht="14.25" customHeight="1">
      <c r="BC692" s="13"/>
      <c r="BD692" s="13"/>
    </row>
    <row r="693" ht="14.25" customHeight="1">
      <c r="BC693" s="13"/>
      <c r="BD693" s="13"/>
    </row>
    <row r="694" ht="14.25" customHeight="1">
      <c r="BC694" s="13"/>
      <c r="BD694" s="13"/>
    </row>
    <row r="695" ht="14.25" customHeight="1">
      <c r="BC695" s="13"/>
      <c r="BD695" s="13"/>
    </row>
    <row r="696" ht="14.25" customHeight="1">
      <c r="BC696" s="13"/>
      <c r="BD696" s="13"/>
    </row>
    <row r="697" ht="14.25" customHeight="1">
      <c r="BC697" s="13"/>
      <c r="BD697" s="13"/>
    </row>
    <row r="698" ht="14.25" customHeight="1">
      <c r="BC698" s="13"/>
      <c r="BD698" s="13"/>
    </row>
    <row r="699" ht="14.25" customHeight="1">
      <c r="BC699" s="13"/>
      <c r="BD699" s="13"/>
    </row>
    <row r="700" ht="14.25" customHeight="1">
      <c r="BC700" s="13"/>
      <c r="BD700" s="13"/>
    </row>
    <row r="701" ht="14.25" customHeight="1">
      <c r="BC701" s="13"/>
      <c r="BD701" s="13"/>
    </row>
    <row r="702" ht="14.25" customHeight="1">
      <c r="BC702" s="13"/>
      <c r="BD702" s="13"/>
    </row>
    <row r="703" ht="14.25" customHeight="1">
      <c r="BC703" s="13"/>
      <c r="BD703" s="13"/>
    </row>
    <row r="704" ht="14.25" customHeight="1">
      <c r="BC704" s="13"/>
      <c r="BD704" s="13"/>
    </row>
    <row r="705" ht="14.25" customHeight="1">
      <c r="BC705" s="13"/>
      <c r="BD705" s="13"/>
    </row>
    <row r="706" ht="14.25" customHeight="1">
      <c r="BC706" s="13"/>
      <c r="BD706" s="13"/>
    </row>
    <row r="707" ht="14.25" customHeight="1">
      <c r="BC707" s="13"/>
      <c r="BD707" s="13"/>
    </row>
    <row r="708" ht="14.25" customHeight="1">
      <c r="BC708" s="13"/>
      <c r="BD708" s="13"/>
    </row>
    <row r="709" ht="14.25" customHeight="1">
      <c r="BC709" s="13"/>
      <c r="BD709" s="13"/>
    </row>
    <row r="710" ht="14.25" customHeight="1">
      <c r="BC710" s="13"/>
      <c r="BD710" s="13"/>
    </row>
    <row r="711" ht="14.25" customHeight="1">
      <c r="BC711" s="13"/>
      <c r="BD711" s="13"/>
    </row>
    <row r="712" ht="14.25" customHeight="1">
      <c r="BC712" s="13"/>
      <c r="BD712" s="13"/>
    </row>
    <row r="713" ht="14.25" customHeight="1">
      <c r="BC713" s="13"/>
      <c r="BD713" s="13"/>
    </row>
    <row r="714" ht="14.25" customHeight="1">
      <c r="BC714" s="13"/>
      <c r="BD714" s="13"/>
    </row>
    <row r="715" ht="14.25" customHeight="1">
      <c r="BC715" s="13"/>
      <c r="BD715" s="13"/>
    </row>
    <row r="716" ht="14.25" customHeight="1">
      <c r="BC716" s="13"/>
      <c r="BD716" s="13"/>
    </row>
    <row r="717" ht="14.25" customHeight="1">
      <c r="BC717" s="13"/>
      <c r="BD717" s="13"/>
    </row>
    <row r="718" ht="14.25" customHeight="1">
      <c r="BC718" s="13"/>
      <c r="BD718" s="13"/>
    </row>
    <row r="719" ht="14.25" customHeight="1">
      <c r="BC719" s="13"/>
      <c r="BD719" s="13"/>
    </row>
    <row r="720" ht="14.25" customHeight="1">
      <c r="BC720" s="13"/>
      <c r="BD720" s="13"/>
    </row>
    <row r="721" ht="14.25" customHeight="1">
      <c r="BC721" s="13"/>
      <c r="BD721" s="13"/>
    </row>
    <row r="722" ht="14.25" customHeight="1">
      <c r="BC722" s="13"/>
      <c r="BD722" s="13"/>
    </row>
    <row r="723" ht="14.25" customHeight="1">
      <c r="BC723" s="13"/>
      <c r="BD723" s="13"/>
    </row>
    <row r="724" ht="14.25" customHeight="1">
      <c r="BC724" s="13"/>
      <c r="BD724" s="13"/>
    </row>
    <row r="725" ht="14.25" customHeight="1">
      <c r="BC725" s="13"/>
      <c r="BD725" s="13"/>
    </row>
    <row r="726" ht="14.25" customHeight="1">
      <c r="BC726" s="13"/>
      <c r="BD726" s="13"/>
    </row>
    <row r="727" ht="14.25" customHeight="1">
      <c r="BC727" s="13"/>
      <c r="BD727" s="13"/>
    </row>
    <row r="728" ht="14.25" customHeight="1">
      <c r="BC728" s="13"/>
      <c r="BD728" s="13"/>
    </row>
    <row r="729" ht="14.25" customHeight="1">
      <c r="BC729" s="13"/>
      <c r="BD729" s="13"/>
    </row>
    <row r="730" ht="14.25" customHeight="1">
      <c r="BC730" s="13"/>
      <c r="BD730" s="13"/>
    </row>
    <row r="731" ht="14.25" customHeight="1">
      <c r="BC731" s="13"/>
      <c r="BD731" s="13"/>
    </row>
    <row r="732" ht="14.25" customHeight="1">
      <c r="BC732" s="13"/>
      <c r="BD732" s="13"/>
    </row>
    <row r="733" ht="14.25" customHeight="1">
      <c r="BC733" s="13"/>
      <c r="BD733" s="13"/>
    </row>
    <row r="734" ht="14.25" customHeight="1">
      <c r="BC734" s="13"/>
      <c r="BD734" s="13"/>
    </row>
    <row r="735" ht="14.25" customHeight="1">
      <c r="BC735" s="13"/>
      <c r="BD735" s="13"/>
    </row>
    <row r="736" ht="14.25" customHeight="1">
      <c r="BC736" s="13"/>
      <c r="BD736" s="13"/>
    </row>
    <row r="737" ht="14.25" customHeight="1">
      <c r="BC737" s="13"/>
      <c r="BD737" s="13"/>
    </row>
    <row r="738" ht="14.25" customHeight="1">
      <c r="BC738" s="13"/>
      <c r="BD738" s="13"/>
    </row>
    <row r="739" ht="14.25" customHeight="1">
      <c r="BC739" s="13"/>
      <c r="BD739" s="13"/>
    </row>
    <row r="740" ht="14.25" customHeight="1">
      <c r="BC740" s="13"/>
      <c r="BD740" s="13"/>
    </row>
    <row r="741" ht="14.25" customHeight="1">
      <c r="BC741" s="13"/>
      <c r="BD741" s="13"/>
    </row>
    <row r="742" ht="14.25" customHeight="1">
      <c r="BC742" s="13"/>
      <c r="BD742" s="13"/>
    </row>
    <row r="743" ht="14.25" customHeight="1">
      <c r="BC743" s="13"/>
      <c r="BD743" s="13"/>
    </row>
    <row r="744" ht="14.25" customHeight="1">
      <c r="BC744" s="13"/>
      <c r="BD744" s="13"/>
    </row>
    <row r="745" ht="14.25" customHeight="1">
      <c r="BC745" s="13"/>
      <c r="BD745" s="13"/>
    </row>
    <row r="746" ht="14.25" customHeight="1">
      <c r="BC746" s="13"/>
      <c r="BD746" s="13"/>
    </row>
    <row r="747" ht="14.25" customHeight="1">
      <c r="BC747" s="13"/>
      <c r="BD747" s="13"/>
    </row>
    <row r="748" ht="14.25" customHeight="1">
      <c r="BC748" s="13"/>
      <c r="BD748" s="13"/>
    </row>
    <row r="749" ht="14.25" customHeight="1">
      <c r="BC749" s="13"/>
      <c r="BD749" s="13"/>
    </row>
    <row r="750" ht="14.25" customHeight="1">
      <c r="BC750" s="13"/>
      <c r="BD750" s="13"/>
    </row>
    <row r="751" ht="14.25" customHeight="1">
      <c r="BC751" s="13"/>
      <c r="BD751" s="13"/>
    </row>
    <row r="752" ht="14.25" customHeight="1">
      <c r="BC752" s="13"/>
      <c r="BD752" s="13"/>
    </row>
    <row r="753" ht="14.25" customHeight="1">
      <c r="BC753" s="13"/>
      <c r="BD753" s="13"/>
    </row>
    <row r="754" ht="14.25" customHeight="1">
      <c r="BC754" s="13"/>
      <c r="BD754" s="13"/>
    </row>
    <row r="755" ht="14.25" customHeight="1">
      <c r="BC755" s="13"/>
      <c r="BD755" s="13"/>
    </row>
    <row r="756" ht="14.25" customHeight="1">
      <c r="BC756" s="13"/>
      <c r="BD756" s="13"/>
    </row>
    <row r="757" ht="14.25" customHeight="1">
      <c r="BC757" s="13"/>
      <c r="BD757" s="13"/>
    </row>
    <row r="758" ht="14.25" customHeight="1">
      <c r="BC758" s="13"/>
      <c r="BD758" s="13"/>
    </row>
    <row r="759" ht="14.25" customHeight="1">
      <c r="BC759" s="13"/>
      <c r="BD759" s="13"/>
    </row>
    <row r="760" ht="14.25" customHeight="1">
      <c r="BC760" s="13"/>
      <c r="BD760" s="13"/>
    </row>
    <row r="761" ht="14.25" customHeight="1">
      <c r="BC761" s="13"/>
      <c r="BD761" s="13"/>
    </row>
    <row r="762" ht="14.25" customHeight="1">
      <c r="BC762" s="13"/>
      <c r="BD762" s="13"/>
    </row>
    <row r="763" ht="14.25" customHeight="1">
      <c r="BC763" s="13"/>
      <c r="BD763" s="13"/>
    </row>
    <row r="764" ht="14.25" customHeight="1">
      <c r="BC764" s="13"/>
      <c r="BD764" s="13"/>
    </row>
    <row r="765" ht="14.25" customHeight="1">
      <c r="BC765" s="13"/>
      <c r="BD765" s="13"/>
    </row>
    <row r="766" ht="14.25" customHeight="1">
      <c r="BC766" s="13"/>
      <c r="BD766" s="13"/>
    </row>
    <row r="767" ht="14.25" customHeight="1">
      <c r="BC767" s="13"/>
      <c r="BD767" s="13"/>
    </row>
    <row r="768" ht="14.25" customHeight="1">
      <c r="BC768" s="13"/>
      <c r="BD768" s="13"/>
    </row>
    <row r="769" ht="14.25" customHeight="1">
      <c r="BC769" s="13"/>
      <c r="BD769" s="13"/>
    </row>
    <row r="770" ht="14.25" customHeight="1">
      <c r="BC770" s="13"/>
      <c r="BD770" s="13"/>
    </row>
    <row r="771" ht="14.25" customHeight="1">
      <c r="BC771" s="13"/>
      <c r="BD771" s="13"/>
    </row>
    <row r="772" ht="14.25" customHeight="1">
      <c r="BC772" s="13"/>
      <c r="BD772" s="13"/>
    </row>
    <row r="773" ht="14.25" customHeight="1">
      <c r="BC773" s="13"/>
      <c r="BD773" s="13"/>
    </row>
    <row r="774" ht="14.25" customHeight="1">
      <c r="BC774" s="13"/>
      <c r="BD774" s="13"/>
    </row>
    <row r="775" ht="14.25" customHeight="1">
      <c r="BC775" s="13"/>
      <c r="BD775" s="13"/>
    </row>
    <row r="776" ht="14.25" customHeight="1">
      <c r="BC776" s="13"/>
      <c r="BD776" s="13"/>
    </row>
    <row r="777" ht="14.25" customHeight="1">
      <c r="BC777" s="13"/>
      <c r="BD777" s="13"/>
    </row>
    <row r="778" ht="14.25" customHeight="1">
      <c r="BC778" s="13"/>
      <c r="BD778" s="13"/>
    </row>
    <row r="779" ht="14.25" customHeight="1">
      <c r="BC779" s="13"/>
      <c r="BD779" s="13"/>
    </row>
    <row r="780" ht="14.25" customHeight="1">
      <c r="BC780" s="13"/>
      <c r="BD780" s="13"/>
    </row>
    <row r="781" ht="14.25" customHeight="1">
      <c r="BC781" s="13"/>
      <c r="BD781" s="13"/>
    </row>
    <row r="782" ht="14.25" customHeight="1">
      <c r="BC782" s="13"/>
      <c r="BD782" s="13"/>
    </row>
    <row r="783" ht="14.25" customHeight="1">
      <c r="BC783" s="13"/>
      <c r="BD783" s="13"/>
    </row>
    <row r="784" ht="14.25" customHeight="1">
      <c r="BC784" s="13"/>
      <c r="BD784" s="13"/>
    </row>
    <row r="785" ht="14.25" customHeight="1">
      <c r="BC785" s="13"/>
      <c r="BD785" s="13"/>
    </row>
    <row r="786" ht="14.25" customHeight="1">
      <c r="BC786" s="13"/>
      <c r="BD786" s="13"/>
    </row>
    <row r="787" ht="14.25" customHeight="1">
      <c r="BC787" s="13"/>
      <c r="BD787" s="13"/>
    </row>
    <row r="788" ht="14.25" customHeight="1">
      <c r="BC788" s="13"/>
      <c r="BD788" s="13"/>
    </row>
    <row r="789" ht="14.25" customHeight="1">
      <c r="BC789" s="13"/>
      <c r="BD789" s="13"/>
    </row>
    <row r="790" ht="14.25" customHeight="1">
      <c r="BC790" s="13"/>
      <c r="BD790" s="13"/>
    </row>
    <row r="791" ht="14.25" customHeight="1">
      <c r="BC791" s="13"/>
      <c r="BD791" s="13"/>
    </row>
    <row r="792" ht="14.25" customHeight="1">
      <c r="BC792" s="13"/>
      <c r="BD792" s="13"/>
    </row>
    <row r="793" ht="14.25" customHeight="1">
      <c r="BC793" s="13"/>
      <c r="BD793" s="13"/>
    </row>
    <row r="794" ht="14.25" customHeight="1">
      <c r="BC794" s="13"/>
      <c r="BD794" s="13"/>
    </row>
    <row r="795" ht="14.25" customHeight="1">
      <c r="BC795" s="13"/>
      <c r="BD795" s="13"/>
    </row>
    <row r="796" ht="14.25" customHeight="1">
      <c r="BC796" s="13"/>
      <c r="BD796" s="13"/>
    </row>
    <row r="797" ht="14.25" customHeight="1">
      <c r="BC797" s="13"/>
      <c r="BD797" s="13"/>
    </row>
    <row r="798" ht="14.25" customHeight="1">
      <c r="BC798" s="13"/>
      <c r="BD798" s="13"/>
    </row>
    <row r="799" ht="14.25" customHeight="1">
      <c r="BC799" s="13"/>
      <c r="BD799" s="13"/>
    </row>
    <row r="800" ht="14.25" customHeight="1">
      <c r="BC800" s="13"/>
      <c r="BD800" s="13"/>
    </row>
    <row r="801" ht="14.25" customHeight="1">
      <c r="BC801" s="13"/>
      <c r="BD801" s="13"/>
    </row>
    <row r="802" ht="14.25" customHeight="1">
      <c r="BC802" s="13"/>
      <c r="BD802" s="13"/>
    </row>
    <row r="803" ht="14.25" customHeight="1">
      <c r="BC803" s="13"/>
      <c r="BD803" s="13"/>
    </row>
    <row r="804" ht="14.25" customHeight="1">
      <c r="BC804" s="13"/>
      <c r="BD804" s="13"/>
    </row>
    <row r="805" ht="14.25" customHeight="1">
      <c r="BC805" s="13"/>
      <c r="BD805" s="13"/>
    </row>
    <row r="806" ht="14.25" customHeight="1">
      <c r="BC806" s="13"/>
      <c r="BD806" s="13"/>
    </row>
    <row r="807" ht="14.25" customHeight="1">
      <c r="BC807" s="13"/>
      <c r="BD807" s="13"/>
    </row>
    <row r="808" ht="14.25" customHeight="1">
      <c r="BC808" s="13"/>
      <c r="BD808" s="13"/>
    </row>
    <row r="809" ht="14.25" customHeight="1">
      <c r="BC809" s="13"/>
      <c r="BD809" s="13"/>
    </row>
    <row r="810" ht="14.25" customHeight="1">
      <c r="BC810" s="13"/>
      <c r="BD810" s="13"/>
    </row>
    <row r="811" ht="14.25" customHeight="1">
      <c r="BC811" s="13"/>
      <c r="BD811" s="13"/>
    </row>
    <row r="812" ht="14.25" customHeight="1">
      <c r="BC812" s="13"/>
      <c r="BD812" s="13"/>
    </row>
    <row r="813" ht="14.25" customHeight="1">
      <c r="BC813" s="13"/>
      <c r="BD813" s="13"/>
    </row>
    <row r="814" ht="14.25" customHeight="1">
      <c r="BC814" s="13"/>
      <c r="BD814" s="13"/>
    </row>
    <row r="815" ht="14.25" customHeight="1">
      <c r="BC815" s="13"/>
      <c r="BD815" s="13"/>
    </row>
    <row r="816" ht="14.25" customHeight="1">
      <c r="BC816" s="13"/>
      <c r="BD816" s="13"/>
    </row>
    <row r="817" ht="14.25" customHeight="1">
      <c r="BC817" s="13"/>
      <c r="BD817" s="13"/>
    </row>
    <row r="818" ht="14.25" customHeight="1">
      <c r="BC818" s="13"/>
      <c r="BD818" s="13"/>
    </row>
    <row r="819" ht="14.25" customHeight="1">
      <c r="BC819" s="13"/>
      <c r="BD819" s="13"/>
    </row>
    <row r="820" ht="14.25" customHeight="1">
      <c r="BC820" s="13"/>
      <c r="BD820" s="13"/>
    </row>
    <row r="821" ht="14.25" customHeight="1">
      <c r="BC821" s="13"/>
      <c r="BD821" s="13"/>
    </row>
    <row r="822" ht="14.25" customHeight="1">
      <c r="BC822" s="13"/>
      <c r="BD822" s="13"/>
    </row>
    <row r="823" ht="14.25" customHeight="1">
      <c r="BC823" s="13"/>
      <c r="BD823" s="13"/>
    </row>
    <row r="824" ht="14.25" customHeight="1">
      <c r="BC824" s="13"/>
      <c r="BD824" s="13"/>
    </row>
    <row r="825" ht="14.25" customHeight="1">
      <c r="BC825" s="13"/>
      <c r="BD825" s="13"/>
    </row>
    <row r="826" ht="14.25" customHeight="1">
      <c r="BC826" s="13"/>
      <c r="BD826" s="13"/>
    </row>
    <row r="827" ht="14.25" customHeight="1">
      <c r="BC827" s="13"/>
      <c r="BD827" s="13"/>
    </row>
    <row r="828" ht="14.25" customHeight="1">
      <c r="BC828" s="13"/>
      <c r="BD828" s="13"/>
    </row>
    <row r="829" ht="14.25" customHeight="1">
      <c r="BC829" s="13"/>
      <c r="BD829" s="13"/>
    </row>
    <row r="830" ht="14.25" customHeight="1">
      <c r="BC830" s="13"/>
      <c r="BD830" s="13"/>
    </row>
    <row r="831" ht="14.25" customHeight="1">
      <c r="BC831" s="13"/>
      <c r="BD831" s="13"/>
    </row>
    <row r="832" ht="14.25" customHeight="1">
      <c r="BC832" s="13"/>
      <c r="BD832" s="13"/>
    </row>
    <row r="833" ht="14.25" customHeight="1">
      <c r="BC833" s="13"/>
      <c r="BD833" s="13"/>
    </row>
    <row r="834" ht="14.25" customHeight="1">
      <c r="BC834" s="13"/>
      <c r="BD834" s="13"/>
    </row>
    <row r="835" ht="14.25" customHeight="1">
      <c r="BC835" s="13"/>
      <c r="BD835" s="13"/>
    </row>
    <row r="836" ht="14.25" customHeight="1">
      <c r="BC836" s="13"/>
      <c r="BD836" s="13"/>
    </row>
    <row r="837" ht="14.25" customHeight="1">
      <c r="BC837" s="13"/>
      <c r="BD837" s="13"/>
    </row>
    <row r="838" ht="14.25" customHeight="1">
      <c r="BC838" s="13"/>
      <c r="BD838" s="13"/>
    </row>
    <row r="839" ht="14.25" customHeight="1">
      <c r="BC839" s="13"/>
      <c r="BD839" s="13"/>
    </row>
    <row r="840" ht="14.25" customHeight="1">
      <c r="BC840" s="13"/>
      <c r="BD840" s="13"/>
    </row>
    <row r="841" ht="14.25" customHeight="1">
      <c r="BC841" s="13"/>
      <c r="BD841" s="13"/>
    </row>
    <row r="842" ht="14.25" customHeight="1">
      <c r="BC842" s="13"/>
      <c r="BD842" s="13"/>
    </row>
    <row r="843" ht="14.25" customHeight="1">
      <c r="BC843" s="13"/>
      <c r="BD843" s="13"/>
    </row>
    <row r="844" ht="14.25" customHeight="1">
      <c r="BC844" s="13"/>
      <c r="BD844" s="13"/>
    </row>
    <row r="845" ht="14.25" customHeight="1">
      <c r="BC845" s="13"/>
      <c r="BD845" s="13"/>
    </row>
    <row r="846" ht="14.25" customHeight="1">
      <c r="BC846" s="13"/>
      <c r="BD846" s="13"/>
    </row>
    <row r="847" ht="14.25" customHeight="1">
      <c r="BC847" s="13"/>
      <c r="BD847" s="13"/>
    </row>
    <row r="848" ht="14.25" customHeight="1">
      <c r="BC848" s="13"/>
      <c r="BD848" s="13"/>
    </row>
    <row r="849" ht="14.25" customHeight="1">
      <c r="BC849" s="13"/>
      <c r="BD849" s="13"/>
    </row>
    <row r="850" ht="14.25" customHeight="1">
      <c r="BC850" s="13"/>
      <c r="BD850" s="13"/>
    </row>
    <row r="851" ht="14.25" customHeight="1">
      <c r="BC851" s="13"/>
      <c r="BD851" s="13"/>
    </row>
    <row r="852" ht="14.25" customHeight="1">
      <c r="BC852" s="13"/>
      <c r="BD852" s="13"/>
    </row>
    <row r="853" ht="14.25" customHeight="1">
      <c r="BC853" s="13"/>
      <c r="BD853" s="13"/>
    </row>
    <row r="854" ht="14.25" customHeight="1">
      <c r="BC854" s="13"/>
      <c r="BD854" s="13"/>
    </row>
    <row r="855" ht="14.25" customHeight="1">
      <c r="BC855" s="13"/>
      <c r="BD855" s="13"/>
    </row>
    <row r="856" ht="14.25" customHeight="1">
      <c r="BC856" s="13"/>
      <c r="BD856" s="13"/>
    </row>
    <row r="857" ht="14.25" customHeight="1">
      <c r="BC857" s="13"/>
      <c r="BD857" s="13"/>
    </row>
    <row r="858" ht="14.25" customHeight="1">
      <c r="BC858" s="13"/>
      <c r="BD858" s="13"/>
    </row>
    <row r="859" ht="14.25" customHeight="1">
      <c r="BC859" s="13"/>
      <c r="BD859" s="13"/>
    </row>
    <row r="860" ht="14.25" customHeight="1">
      <c r="BC860" s="13"/>
      <c r="BD860" s="13"/>
    </row>
    <row r="861" ht="14.25" customHeight="1">
      <c r="BC861" s="13"/>
      <c r="BD861" s="13"/>
    </row>
    <row r="862" ht="14.25" customHeight="1">
      <c r="BC862" s="13"/>
      <c r="BD862" s="13"/>
    </row>
    <row r="863" ht="14.25" customHeight="1">
      <c r="BC863" s="13"/>
      <c r="BD863" s="13"/>
    </row>
    <row r="864" ht="14.25" customHeight="1">
      <c r="BC864" s="13"/>
      <c r="BD864" s="13"/>
    </row>
    <row r="865" ht="14.25" customHeight="1">
      <c r="BC865" s="13"/>
      <c r="BD865" s="13"/>
    </row>
    <row r="866" ht="14.25" customHeight="1">
      <c r="BC866" s="13"/>
      <c r="BD866" s="13"/>
    </row>
    <row r="867" ht="14.25" customHeight="1">
      <c r="BC867" s="13"/>
      <c r="BD867" s="13"/>
    </row>
    <row r="868" ht="14.25" customHeight="1">
      <c r="BC868" s="13"/>
      <c r="BD868" s="13"/>
    </row>
    <row r="869" ht="14.25" customHeight="1">
      <c r="BC869" s="13"/>
      <c r="BD869" s="13"/>
    </row>
    <row r="870" ht="14.25" customHeight="1">
      <c r="BC870" s="13"/>
      <c r="BD870" s="13"/>
    </row>
    <row r="871" ht="14.25" customHeight="1">
      <c r="BC871" s="13"/>
      <c r="BD871" s="13"/>
    </row>
    <row r="872" ht="14.25" customHeight="1">
      <c r="BC872" s="13"/>
      <c r="BD872" s="13"/>
    </row>
    <row r="873" ht="14.25" customHeight="1">
      <c r="BC873" s="13"/>
      <c r="BD873" s="13"/>
    </row>
    <row r="874" ht="14.25" customHeight="1">
      <c r="BC874" s="13"/>
      <c r="BD874" s="13"/>
    </row>
    <row r="875" ht="14.25" customHeight="1">
      <c r="BC875" s="13"/>
      <c r="BD875" s="13"/>
    </row>
    <row r="876" ht="14.25" customHeight="1">
      <c r="BC876" s="13"/>
      <c r="BD876" s="13"/>
    </row>
    <row r="877" ht="14.25" customHeight="1">
      <c r="BC877" s="13"/>
      <c r="BD877" s="13"/>
    </row>
    <row r="878" ht="14.25" customHeight="1">
      <c r="BC878" s="13"/>
      <c r="BD878" s="13"/>
    </row>
    <row r="879" ht="14.25" customHeight="1">
      <c r="BC879" s="13"/>
      <c r="BD879" s="13"/>
    </row>
    <row r="880" ht="14.25" customHeight="1">
      <c r="BC880" s="13"/>
      <c r="BD880" s="13"/>
    </row>
    <row r="881" ht="14.25" customHeight="1">
      <c r="BC881" s="13"/>
      <c r="BD881" s="13"/>
    </row>
    <row r="882" ht="14.25" customHeight="1">
      <c r="BC882" s="13"/>
      <c r="BD882" s="13"/>
    </row>
    <row r="883" ht="14.25" customHeight="1">
      <c r="BC883" s="13"/>
      <c r="BD883" s="13"/>
    </row>
    <row r="884" ht="14.25" customHeight="1">
      <c r="BC884" s="13"/>
      <c r="BD884" s="13"/>
    </row>
    <row r="885" ht="14.25" customHeight="1">
      <c r="BC885" s="13"/>
      <c r="BD885" s="13"/>
    </row>
    <row r="886" ht="14.25" customHeight="1">
      <c r="BC886" s="13"/>
      <c r="BD886" s="13"/>
    </row>
    <row r="887" ht="14.25" customHeight="1">
      <c r="BC887" s="13"/>
      <c r="BD887" s="13"/>
    </row>
    <row r="888" ht="14.25" customHeight="1">
      <c r="BC888" s="13"/>
      <c r="BD888" s="13"/>
    </row>
    <row r="889" ht="14.25" customHeight="1">
      <c r="BC889" s="13"/>
      <c r="BD889" s="13"/>
    </row>
    <row r="890" ht="14.25" customHeight="1">
      <c r="BC890" s="13"/>
      <c r="BD890" s="13"/>
    </row>
    <row r="891" ht="14.25" customHeight="1">
      <c r="BC891" s="13"/>
      <c r="BD891" s="13"/>
    </row>
    <row r="892" ht="14.25" customHeight="1">
      <c r="BC892" s="13"/>
      <c r="BD892" s="13"/>
    </row>
    <row r="893" ht="14.25" customHeight="1">
      <c r="BC893" s="13"/>
      <c r="BD893" s="13"/>
    </row>
    <row r="894" ht="14.25" customHeight="1">
      <c r="BC894" s="13"/>
      <c r="BD894" s="13"/>
    </row>
    <row r="895" ht="14.25" customHeight="1">
      <c r="BC895" s="13"/>
      <c r="BD895" s="13"/>
    </row>
    <row r="896" ht="14.25" customHeight="1">
      <c r="BC896" s="13"/>
      <c r="BD896" s="13"/>
    </row>
    <row r="897" ht="14.25" customHeight="1">
      <c r="BC897" s="13"/>
      <c r="BD897" s="13"/>
    </row>
    <row r="898" ht="14.25" customHeight="1">
      <c r="BC898" s="13"/>
      <c r="BD898" s="13"/>
    </row>
    <row r="899" ht="14.25" customHeight="1">
      <c r="BC899" s="13"/>
      <c r="BD899" s="13"/>
    </row>
    <row r="900" ht="14.25" customHeight="1">
      <c r="BC900" s="13"/>
      <c r="BD900" s="13"/>
    </row>
    <row r="901" ht="14.25" customHeight="1">
      <c r="BC901" s="13"/>
      <c r="BD901" s="13"/>
    </row>
    <row r="902" ht="14.25" customHeight="1">
      <c r="BC902" s="13"/>
      <c r="BD902" s="13"/>
    </row>
    <row r="903" ht="14.25" customHeight="1">
      <c r="BC903" s="13"/>
      <c r="BD903" s="13"/>
    </row>
    <row r="904" ht="14.25" customHeight="1">
      <c r="BC904" s="13"/>
      <c r="BD904" s="13"/>
    </row>
    <row r="905" ht="14.25" customHeight="1">
      <c r="BC905" s="13"/>
      <c r="BD905" s="13"/>
    </row>
    <row r="906" ht="14.25" customHeight="1">
      <c r="BC906" s="13"/>
      <c r="BD906" s="13"/>
    </row>
    <row r="907" ht="14.25" customHeight="1">
      <c r="BC907" s="13"/>
      <c r="BD907" s="13"/>
    </row>
    <row r="908" ht="14.25" customHeight="1">
      <c r="BC908" s="13"/>
      <c r="BD908" s="13"/>
    </row>
    <row r="909" ht="14.25" customHeight="1">
      <c r="BC909" s="13"/>
      <c r="BD909" s="13"/>
    </row>
    <row r="910" ht="14.25" customHeight="1">
      <c r="BC910" s="13"/>
      <c r="BD910" s="13"/>
    </row>
    <row r="911" ht="14.25" customHeight="1">
      <c r="BC911" s="13"/>
      <c r="BD911" s="13"/>
    </row>
    <row r="912" ht="14.25" customHeight="1">
      <c r="BC912" s="13"/>
      <c r="BD912" s="13"/>
    </row>
    <row r="913" ht="14.25" customHeight="1">
      <c r="BC913" s="13"/>
      <c r="BD913" s="13"/>
    </row>
    <row r="914" ht="14.25" customHeight="1">
      <c r="BC914" s="13"/>
      <c r="BD914" s="13"/>
    </row>
    <row r="915" ht="14.25" customHeight="1">
      <c r="BC915" s="13"/>
      <c r="BD915" s="13"/>
    </row>
    <row r="916" ht="14.25" customHeight="1">
      <c r="BC916" s="13"/>
      <c r="BD916" s="13"/>
    </row>
    <row r="917" ht="14.25" customHeight="1">
      <c r="BC917" s="13"/>
      <c r="BD917" s="13"/>
    </row>
    <row r="918" ht="14.25" customHeight="1">
      <c r="BC918" s="13"/>
      <c r="BD918" s="13"/>
    </row>
    <row r="919" ht="14.25" customHeight="1">
      <c r="BC919" s="13"/>
      <c r="BD919" s="13"/>
    </row>
    <row r="920" ht="14.25" customHeight="1">
      <c r="BC920" s="13"/>
      <c r="BD920" s="13"/>
    </row>
    <row r="921" ht="14.25" customHeight="1">
      <c r="BC921" s="13"/>
      <c r="BD921" s="13"/>
    </row>
    <row r="922" ht="14.25" customHeight="1">
      <c r="BC922" s="13"/>
      <c r="BD922" s="13"/>
    </row>
    <row r="923" ht="14.25" customHeight="1">
      <c r="BC923" s="13"/>
      <c r="BD923" s="13"/>
    </row>
    <row r="924" ht="14.25" customHeight="1">
      <c r="BC924" s="13"/>
      <c r="BD924" s="13"/>
    </row>
    <row r="925" ht="14.25" customHeight="1">
      <c r="BC925" s="13"/>
      <c r="BD925" s="13"/>
    </row>
    <row r="926" ht="14.25" customHeight="1">
      <c r="BC926" s="13"/>
      <c r="BD926" s="13"/>
    </row>
    <row r="927" ht="14.25" customHeight="1">
      <c r="BC927" s="13"/>
      <c r="BD927" s="13"/>
    </row>
    <row r="928" ht="14.25" customHeight="1">
      <c r="BC928" s="13"/>
      <c r="BD928" s="13"/>
    </row>
    <row r="929" ht="14.25" customHeight="1">
      <c r="BC929" s="13"/>
      <c r="BD929" s="13"/>
    </row>
    <row r="930" ht="14.25" customHeight="1">
      <c r="BC930" s="13"/>
      <c r="BD930" s="13"/>
    </row>
    <row r="931" ht="14.25" customHeight="1">
      <c r="BC931" s="13"/>
      <c r="BD931" s="13"/>
    </row>
    <row r="932" ht="14.25" customHeight="1">
      <c r="BC932" s="13"/>
      <c r="BD932" s="13"/>
    </row>
    <row r="933" ht="14.25" customHeight="1">
      <c r="BC933" s="13"/>
      <c r="BD933" s="13"/>
    </row>
    <row r="934" ht="14.25" customHeight="1">
      <c r="BC934" s="13"/>
      <c r="BD934" s="13"/>
    </row>
    <row r="935" ht="14.25" customHeight="1">
      <c r="BC935" s="13"/>
      <c r="BD935" s="13"/>
    </row>
    <row r="936" ht="14.25" customHeight="1">
      <c r="BC936" s="13"/>
      <c r="BD936" s="13"/>
    </row>
    <row r="937" ht="14.25" customHeight="1">
      <c r="BC937" s="13"/>
      <c r="BD937" s="13"/>
    </row>
    <row r="938" ht="14.25" customHeight="1">
      <c r="BC938" s="13"/>
      <c r="BD938" s="13"/>
    </row>
    <row r="939" ht="14.25" customHeight="1">
      <c r="BC939" s="13"/>
      <c r="BD939" s="13"/>
    </row>
    <row r="940" ht="14.25" customHeight="1">
      <c r="BC940" s="13"/>
      <c r="BD940" s="13"/>
    </row>
    <row r="941" ht="14.25" customHeight="1">
      <c r="BC941" s="13"/>
      <c r="BD941" s="13"/>
    </row>
    <row r="942" ht="14.25" customHeight="1">
      <c r="BC942" s="13"/>
      <c r="BD942" s="13"/>
    </row>
    <row r="943" ht="14.25" customHeight="1">
      <c r="BC943" s="13"/>
      <c r="BD943" s="13"/>
    </row>
    <row r="944" ht="14.25" customHeight="1">
      <c r="BC944" s="13"/>
      <c r="BD944" s="13"/>
    </row>
    <row r="945" ht="14.25" customHeight="1">
      <c r="BC945" s="13"/>
      <c r="BD945" s="13"/>
    </row>
    <row r="946" ht="14.25" customHeight="1">
      <c r="BC946" s="13"/>
      <c r="BD946" s="13"/>
    </row>
    <row r="947" ht="14.25" customHeight="1">
      <c r="BC947" s="13"/>
      <c r="BD947" s="13"/>
    </row>
    <row r="948" ht="14.25" customHeight="1">
      <c r="BC948" s="13"/>
      <c r="BD948" s="13"/>
    </row>
    <row r="949" ht="14.25" customHeight="1">
      <c r="BC949" s="13"/>
      <c r="BD949" s="13"/>
    </row>
    <row r="950" ht="14.25" customHeight="1">
      <c r="BC950" s="13"/>
      <c r="BD950" s="13"/>
    </row>
    <row r="951" ht="14.25" customHeight="1">
      <c r="BC951" s="13"/>
      <c r="BD951" s="13"/>
    </row>
    <row r="952" ht="14.25" customHeight="1">
      <c r="BC952" s="13"/>
      <c r="BD952" s="13"/>
    </row>
    <row r="953" ht="14.25" customHeight="1">
      <c r="BC953" s="13"/>
      <c r="BD953" s="13"/>
    </row>
    <row r="954" ht="14.25" customHeight="1">
      <c r="BC954" s="13"/>
      <c r="BD954" s="13"/>
    </row>
    <row r="955" ht="14.25" customHeight="1">
      <c r="BC955" s="13"/>
      <c r="BD955" s="13"/>
    </row>
    <row r="956" ht="14.25" customHeight="1">
      <c r="BC956" s="13"/>
      <c r="BD956" s="13"/>
    </row>
    <row r="957" ht="14.25" customHeight="1">
      <c r="BC957" s="13"/>
      <c r="BD957" s="13"/>
    </row>
    <row r="958" ht="14.25" customHeight="1">
      <c r="BC958" s="13"/>
      <c r="BD958" s="13"/>
    </row>
    <row r="959" ht="14.25" customHeight="1">
      <c r="BC959" s="13"/>
      <c r="BD959" s="13"/>
    </row>
    <row r="960" ht="14.25" customHeight="1">
      <c r="BC960" s="13"/>
      <c r="BD960" s="13"/>
    </row>
    <row r="961" ht="14.25" customHeight="1">
      <c r="BC961" s="13"/>
      <c r="BD961" s="13"/>
    </row>
    <row r="962" ht="14.25" customHeight="1">
      <c r="BC962" s="13"/>
      <c r="BD962" s="13"/>
    </row>
    <row r="963" ht="14.25" customHeight="1">
      <c r="BC963" s="13"/>
      <c r="BD963" s="13"/>
    </row>
    <row r="964" ht="14.25" customHeight="1">
      <c r="BC964" s="13"/>
      <c r="BD964" s="13"/>
    </row>
    <row r="965" ht="14.25" customHeight="1">
      <c r="BC965" s="13"/>
      <c r="BD965" s="13"/>
    </row>
    <row r="966" ht="14.25" customHeight="1">
      <c r="BC966" s="13"/>
      <c r="BD966" s="13"/>
    </row>
    <row r="967" ht="14.25" customHeight="1">
      <c r="BC967" s="13"/>
      <c r="BD967" s="13"/>
    </row>
    <row r="968" ht="14.25" customHeight="1">
      <c r="BC968" s="13"/>
      <c r="BD968" s="13"/>
    </row>
    <row r="969" ht="14.25" customHeight="1">
      <c r="BC969" s="13"/>
      <c r="BD969" s="13"/>
    </row>
    <row r="970" ht="14.25" customHeight="1">
      <c r="BC970" s="13"/>
      <c r="BD970" s="13"/>
    </row>
    <row r="971" ht="14.25" customHeight="1">
      <c r="BC971" s="13"/>
      <c r="BD971" s="13"/>
    </row>
    <row r="972" ht="14.25" customHeight="1">
      <c r="BC972" s="13"/>
      <c r="BD972" s="13"/>
    </row>
    <row r="973" ht="14.25" customHeight="1">
      <c r="BC973" s="13"/>
      <c r="BD973" s="13"/>
    </row>
    <row r="974" ht="14.25" customHeight="1">
      <c r="BC974" s="13"/>
      <c r="BD974" s="13"/>
    </row>
    <row r="975" ht="14.25" customHeight="1">
      <c r="BC975" s="13"/>
      <c r="BD975" s="13"/>
    </row>
    <row r="976" ht="14.25" customHeight="1">
      <c r="BC976" s="13"/>
      <c r="BD976" s="13"/>
    </row>
  </sheetData>
  <hyperlinks>
    <hyperlink r:id="rId1" ref="E2"/>
    <hyperlink r:id="rId2" ref="R2"/>
    <hyperlink r:id="rId3" ref="T2"/>
    <hyperlink r:id="rId4" ref="AZ2"/>
    <hyperlink r:id="rId5" ref="BE2"/>
    <hyperlink r:id="rId6" ref="E3"/>
    <hyperlink r:id="rId7" ref="R3"/>
    <hyperlink r:id="rId8" ref="T3"/>
    <hyperlink r:id="rId9" ref="AZ3"/>
    <hyperlink r:id="rId10" ref="BE3"/>
    <hyperlink r:id="rId11" ref="E4"/>
    <hyperlink r:id="rId12" ref="R4"/>
    <hyperlink r:id="rId13" ref="T4"/>
    <hyperlink r:id="rId14" ref="AZ4"/>
    <hyperlink r:id="rId15" ref="BE4"/>
    <hyperlink r:id="rId16" ref="E5"/>
    <hyperlink r:id="rId17" ref="R5"/>
    <hyperlink r:id="rId18" ref="T5"/>
    <hyperlink r:id="rId19" ref="AZ5"/>
    <hyperlink r:id="rId20" ref="BE5"/>
    <hyperlink r:id="rId21" ref="E6"/>
    <hyperlink r:id="rId22" ref="R6"/>
    <hyperlink r:id="rId23" ref="T6"/>
    <hyperlink r:id="rId24" ref="AZ6"/>
    <hyperlink r:id="rId25" ref="BE6"/>
    <hyperlink r:id="rId26" ref="E7"/>
    <hyperlink r:id="rId27" ref="R7"/>
    <hyperlink r:id="rId28" ref="T7"/>
    <hyperlink r:id="rId29" ref="AZ7"/>
    <hyperlink r:id="rId30" ref="BE7"/>
    <hyperlink r:id="rId31" ref="E9"/>
    <hyperlink r:id="rId32" ref="R9"/>
    <hyperlink r:id="rId33" ref="T9"/>
    <hyperlink r:id="rId34" ref="AZ9"/>
    <hyperlink r:id="rId35" ref="BE9"/>
    <hyperlink r:id="rId36" ref="E10"/>
    <hyperlink r:id="rId37" ref="R10"/>
    <hyperlink r:id="rId38" ref="T10"/>
    <hyperlink r:id="rId39" ref="AZ10"/>
    <hyperlink r:id="rId40" ref="BE10"/>
    <hyperlink r:id="rId41" ref="E11"/>
    <hyperlink r:id="rId42" ref="R11"/>
    <hyperlink r:id="rId43" ref="T11"/>
    <hyperlink r:id="rId44" ref="AZ11"/>
    <hyperlink r:id="rId45" ref="BE11"/>
    <hyperlink r:id="rId46" ref="E12"/>
    <hyperlink r:id="rId47" ref="R12"/>
    <hyperlink r:id="rId48" ref="T12"/>
    <hyperlink r:id="rId49" ref="AZ12"/>
    <hyperlink r:id="rId50" ref="BE12"/>
    <hyperlink r:id="rId51" ref="E13"/>
    <hyperlink r:id="rId52" ref="R13"/>
    <hyperlink r:id="rId53" ref="T13"/>
    <hyperlink r:id="rId54" ref="AZ13"/>
    <hyperlink r:id="rId55" ref="BE13"/>
    <hyperlink r:id="rId56" ref="E14"/>
    <hyperlink r:id="rId57" ref="R14"/>
    <hyperlink r:id="rId58" ref="T14"/>
    <hyperlink r:id="rId59" ref="AZ14"/>
    <hyperlink r:id="rId60" ref="BE14"/>
    <hyperlink r:id="rId61" ref="E16"/>
    <hyperlink r:id="rId62" ref="R16"/>
    <hyperlink r:id="rId63" ref="T16"/>
    <hyperlink r:id="rId64" ref="AZ16"/>
    <hyperlink r:id="rId65" ref="BE16"/>
    <hyperlink r:id="rId66" ref="E17"/>
    <hyperlink r:id="rId67" ref="R17"/>
    <hyperlink r:id="rId68" ref="T17"/>
    <hyperlink r:id="rId69" ref="AZ17"/>
    <hyperlink r:id="rId70" ref="BE17"/>
    <hyperlink r:id="rId71" ref="E18"/>
    <hyperlink r:id="rId72" ref="R18"/>
    <hyperlink r:id="rId73" ref="T18"/>
    <hyperlink r:id="rId74" ref="AZ18"/>
    <hyperlink r:id="rId75" ref="BE18"/>
    <hyperlink r:id="rId76" ref="E19"/>
    <hyperlink r:id="rId77" ref="R19"/>
    <hyperlink r:id="rId78" ref="T19"/>
    <hyperlink r:id="rId79" ref="AZ19"/>
    <hyperlink r:id="rId80" ref="BE19"/>
    <hyperlink r:id="rId81" ref="E20"/>
    <hyperlink r:id="rId82" ref="R20"/>
    <hyperlink r:id="rId83" ref="T20"/>
    <hyperlink r:id="rId84" ref="AZ20"/>
    <hyperlink r:id="rId85" ref="BE20"/>
    <hyperlink r:id="rId86" ref="E21"/>
    <hyperlink r:id="rId87" ref="R21"/>
    <hyperlink r:id="rId88" ref="T21"/>
    <hyperlink r:id="rId89" ref="AZ21"/>
    <hyperlink r:id="rId90" ref="BE21"/>
    <hyperlink r:id="rId91" ref="E53"/>
    <hyperlink r:id="rId92" ref="R53"/>
    <hyperlink r:id="rId93" ref="T53"/>
    <hyperlink r:id="rId94" ref="AZ53"/>
    <hyperlink r:id="rId95" ref="BE53"/>
    <hyperlink r:id="rId96" ref="E54"/>
    <hyperlink r:id="rId97" ref="R54"/>
    <hyperlink r:id="rId98" ref="T54"/>
    <hyperlink r:id="rId99" ref="AZ54"/>
    <hyperlink r:id="rId100" ref="BE54"/>
    <hyperlink r:id="rId101" ref="E55"/>
    <hyperlink r:id="rId102" ref="R55"/>
    <hyperlink r:id="rId103" ref="T55"/>
    <hyperlink r:id="rId104" ref="AZ55"/>
    <hyperlink r:id="rId105" ref="BE55"/>
    <hyperlink r:id="rId106" ref="E56"/>
    <hyperlink r:id="rId107" ref="R56"/>
    <hyperlink r:id="rId108" ref="T56"/>
    <hyperlink r:id="rId109" ref="AZ56"/>
    <hyperlink r:id="rId110" ref="BE56"/>
    <hyperlink r:id="rId111" ref="E57"/>
    <hyperlink r:id="rId112" ref="R57"/>
    <hyperlink r:id="rId113" ref="T57"/>
    <hyperlink r:id="rId114" ref="AZ57"/>
    <hyperlink r:id="rId115" ref="BE57"/>
    <hyperlink r:id="rId116" ref="E58"/>
    <hyperlink r:id="rId117" ref="R58"/>
    <hyperlink r:id="rId118" ref="T58"/>
    <hyperlink r:id="rId119" ref="AZ58"/>
    <hyperlink r:id="rId120" ref="BE58"/>
    <hyperlink r:id="rId121" ref="E60"/>
    <hyperlink r:id="rId122" ref="R60"/>
    <hyperlink r:id="rId123" ref="T60"/>
    <hyperlink r:id="rId124" ref="AZ60"/>
    <hyperlink r:id="rId125" ref="BE60"/>
    <hyperlink r:id="rId126" ref="E61"/>
    <hyperlink r:id="rId127" ref="R61"/>
    <hyperlink r:id="rId128" ref="T61"/>
    <hyperlink r:id="rId129" ref="AZ61"/>
    <hyperlink r:id="rId130" ref="BE61"/>
    <hyperlink r:id="rId131" ref="E62"/>
    <hyperlink r:id="rId132" ref="R62"/>
    <hyperlink r:id="rId133" ref="T62"/>
    <hyperlink r:id="rId134" ref="AZ62"/>
    <hyperlink r:id="rId135" ref="BE62"/>
    <hyperlink r:id="rId136" ref="E63"/>
    <hyperlink r:id="rId137" ref="R63"/>
    <hyperlink r:id="rId138" ref="T63"/>
    <hyperlink r:id="rId139" ref="AZ63"/>
    <hyperlink r:id="rId140" ref="BE63"/>
    <hyperlink r:id="rId141" ref="E64"/>
    <hyperlink r:id="rId142" ref="R64"/>
    <hyperlink r:id="rId143" ref="T64"/>
    <hyperlink r:id="rId144" ref="AZ64"/>
    <hyperlink r:id="rId145" ref="BE64"/>
    <hyperlink r:id="rId146" ref="E65"/>
    <hyperlink r:id="rId147" ref="R65"/>
    <hyperlink r:id="rId148" ref="T65"/>
    <hyperlink r:id="rId149" ref="AZ65"/>
    <hyperlink r:id="rId150" ref="BE65"/>
    <hyperlink r:id="rId151" ref="E67"/>
    <hyperlink r:id="rId152" ref="R67"/>
    <hyperlink r:id="rId153" ref="T67"/>
    <hyperlink r:id="rId154" ref="AZ67"/>
    <hyperlink r:id="rId155" ref="BE67"/>
    <hyperlink r:id="rId156" ref="R68"/>
    <hyperlink r:id="rId157" ref="T68"/>
    <hyperlink r:id="rId158" ref="AZ68"/>
    <hyperlink r:id="rId159" ref="BE68"/>
    <hyperlink r:id="rId160" ref="R69"/>
    <hyperlink r:id="rId161" ref="T69"/>
    <hyperlink r:id="rId162" ref="AZ69"/>
    <hyperlink r:id="rId163" ref="BE69"/>
    <hyperlink r:id="rId164" ref="R70"/>
    <hyperlink r:id="rId165" ref="T70"/>
    <hyperlink r:id="rId166" ref="AZ70"/>
    <hyperlink r:id="rId167" ref="BE70"/>
    <hyperlink r:id="rId168" ref="R71"/>
    <hyperlink r:id="rId169" ref="T71"/>
    <hyperlink r:id="rId170" ref="AZ71"/>
    <hyperlink r:id="rId171" ref="BE71"/>
    <hyperlink r:id="rId172" ref="R72"/>
    <hyperlink r:id="rId173" ref="T72"/>
    <hyperlink r:id="rId174" ref="AZ72"/>
    <hyperlink r:id="rId175" ref="BE72"/>
  </hyperlinks>
  <printOptions/>
  <pageMargins bottom="0.75" footer="0.0" header="0.0" left="0.7" right="0.7" top="0.75"/>
  <pageSetup orientation="landscape"/>
  <drawing r:id="rId17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5"/>
    <col customWidth="1" min="2" max="4" width="13.38"/>
    <col customWidth="1" min="5" max="5" width="12.88"/>
    <col customWidth="1" min="6" max="6" width="12.0"/>
    <col customWidth="1" min="7" max="9" width="14.25"/>
    <col customWidth="1" min="10" max="10" width="17.0"/>
    <col customWidth="1" min="11" max="11" width="23.88"/>
    <col customWidth="1" min="12" max="12" width="48.63"/>
    <col customWidth="1" min="13" max="13" width="19.38"/>
    <col customWidth="1" min="14" max="14" width="17.0"/>
    <col customWidth="1" min="15" max="15" width="13.75"/>
    <col customWidth="1" min="16" max="16" width="14.75"/>
    <col customWidth="1" min="17" max="17" width="14.0"/>
    <col customWidth="1" min="18" max="19" width="13.13"/>
    <col customWidth="1" min="20" max="20" width="17.0"/>
    <col customWidth="1" min="21" max="21" width="14.38"/>
    <col customWidth="1" min="22" max="26" width="8.63"/>
    <col customWidth="1" min="27" max="27" width="15.5"/>
    <col customWidth="1" min="28" max="28" width="8.63"/>
    <col customWidth="1" min="29" max="29" width="15.0"/>
    <col customWidth="1" min="30" max="30" width="14.5"/>
    <col customWidth="1" min="31" max="31" width="17.0"/>
    <col customWidth="1" min="32" max="33" width="10.38"/>
    <col customWidth="1" min="34" max="34" width="17.38"/>
    <col customWidth="1" min="35" max="35" width="10.38"/>
    <col customWidth="1" min="36" max="36" width="13.13"/>
    <col customWidth="1" min="37" max="38" width="10.38"/>
    <col customWidth="1" min="39" max="41" width="14.5"/>
    <col customWidth="1" min="42" max="42" width="11.38"/>
    <col customWidth="1" min="43" max="43" width="10.13"/>
    <col customWidth="1" min="44" max="44" width="9.13"/>
    <col customWidth="1" min="45" max="46" width="14.38"/>
    <col customWidth="1" min="47" max="55" width="14.25"/>
    <col customWidth="1" min="56" max="56" width="9.13"/>
    <col customWidth="1" min="57" max="57" width="9.75"/>
    <col customWidth="1" min="58" max="60" width="14.63"/>
    <col customWidth="1" min="61" max="61" width="101.75"/>
    <col customWidth="1" min="62" max="62" width="10.0"/>
    <col customWidth="1" min="63" max="64" width="10.13"/>
    <col customWidth="1" min="65" max="65" width="9.25"/>
    <col customWidth="1" min="66" max="66" width="8.63"/>
    <col customWidth="1" min="67" max="69" width="11.0"/>
    <col customWidth="1" min="70" max="70" width="11.88"/>
    <col customWidth="1" min="71" max="72" width="10.63"/>
    <col customWidth="1" min="73" max="73" width="12.75"/>
    <col customWidth="1" min="74" max="74" width="11.38"/>
    <col customWidth="1" min="75" max="75" width="14.88"/>
    <col customWidth="1" min="76" max="76" width="15.0"/>
    <col customWidth="1" min="77" max="77" width="15.25"/>
    <col customWidth="1" min="78" max="78" width="18.25"/>
    <col customWidth="1" min="79" max="79" width="15.25"/>
    <col customWidth="1" min="80" max="80" width="10.88"/>
    <col customWidth="1" min="81" max="87" width="10.0"/>
    <col customWidth="1" min="88" max="89" width="10.63"/>
    <col customWidth="1" min="90" max="90" width="10.88"/>
  </cols>
  <sheetData>
    <row r="1" ht="54.0" customHeight="1">
      <c r="A1" s="155" t="s">
        <v>0</v>
      </c>
      <c r="B1" s="1" t="s">
        <v>182</v>
      </c>
      <c r="C1" s="35" t="s">
        <v>183</v>
      </c>
      <c r="D1" s="156" t="s">
        <v>184</v>
      </c>
      <c r="E1" s="1" t="s">
        <v>84</v>
      </c>
      <c r="F1" s="157" t="s">
        <v>85</v>
      </c>
      <c r="G1" s="158" t="s">
        <v>1</v>
      </c>
      <c r="H1" s="159" t="s">
        <v>2</v>
      </c>
      <c r="I1" s="160" t="s">
        <v>3</v>
      </c>
      <c r="J1" s="161" t="s">
        <v>4</v>
      </c>
      <c r="K1" s="36" t="s">
        <v>88</v>
      </c>
      <c r="L1" s="158" t="s">
        <v>5</v>
      </c>
      <c r="M1" s="2" t="s">
        <v>6</v>
      </c>
      <c r="N1" s="2" t="s">
        <v>7</v>
      </c>
      <c r="O1" s="159" t="s">
        <v>8</v>
      </c>
      <c r="P1" s="161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36" t="s">
        <v>12</v>
      </c>
      <c r="V1" s="158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159" t="s">
        <v>17</v>
      </c>
      <c r="AB1" s="161" t="s">
        <v>18</v>
      </c>
      <c r="AC1" s="4" t="s">
        <v>19</v>
      </c>
      <c r="AD1" s="4" t="s">
        <v>20</v>
      </c>
      <c r="AE1" s="4" t="s">
        <v>21</v>
      </c>
      <c r="AF1" s="36" t="s">
        <v>22</v>
      </c>
      <c r="AG1" s="2" t="s">
        <v>23</v>
      </c>
      <c r="AH1" s="161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36" t="s">
        <v>31</v>
      </c>
      <c r="AP1" s="158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159" t="s">
        <v>31</v>
      </c>
      <c r="BC1" s="161" t="s">
        <v>101</v>
      </c>
      <c r="BD1" s="4" t="s">
        <v>102</v>
      </c>
      <c r="BE1" s="4" t="s">
        <v>103</v>
      </c>
      <c r="BF1" s="4" t="s">
        <v>104</v>
      </c>
      <c r="BG1" s="37" t="s">
        <v>30</v>
      </c>
      <c r="BH1" s="162" t="s">
        <v>31</v>
      </c>
      <c r="BI1" s="163" t="s">
        <v>3</v>
      </c>
      <c r="BJ1" s="6" t="s">
        <v>32</v>
      </c>
      <c r="BK1" s="38" t="s">
        <v>33</v>
      </c>
      <c r="BL1" s="38" t="s">
        <v>105</v>
      </c>
      <c r="BM1" s="8" t="s">
        <v>34</v>
      </c>
      <c r="BN1" s="9" t="s">
        <v>35</v>
      </c>
      <c r="BO1" s="9" t="s">
        <v>36</v>
      </c>
      <c r="BP1" s="9" t="s">
        <v>37</v>
      </c>
      <c r="BQ1" s="9" t="s">
        <v>38</v>
      </c>
      <c r="BR1" s="9" t="s">
        <v>39</v>
      </c>
      <c r="BS1" s="9" t="s">
        <v>40</v>
      </c>
      <c r="BT1" s="9" t="s">
        <v>41</v>
      </c>
      <c r="BU1" s="9" t="s">
        <v>42</v>
      </c>
      <c r="BV1" s="9" t="s">
        <v>43</v>
      </c>
      <c r="BW1" s="10" t="s">
        <v>44</v>
      </c>
      <c r="BX1" s="10" t="s">
        <v>159</v>
      </c>
      <c r="BY1" s="10" t="s">
        <v>46</v>
      </c>
      <c r="BZ1" s="10" t="s">
        <v>185</v>
      </c>
      <c r="CA1" s="10" t="s">
        <v>160</v>
      </c>
      <c r="CB1" s="10" t="s">
        <v>49</v>
      </c>
      <c r="CC1" s="10" t="s">
        <v>161</v>
      </c>
      <c r="CD1" s="10" t="s">
        <v>51</v>
      </c>
      <c r="CE1" s="10" t="s">
        <v>52</v>
      </c>
      <c r="CF1" s="10" t="s">
        <v>162</v>
      </c>
      <c r="CG1" s="10" t="s">
        <v>54</v>
      </c>
      <c r="CH1" s="10" t="s">
        <v>109</v>
      </c>
      <c r="CI1" s="10" t="s">
        <v>163</v>
      </c>
      <c r="CJ1" s="10" t="s">
        <v>111</v>
      </c>
      <c r="CK1" s="10" t="s">
        <v>164</v>
      </c>
      <c r="CL1" s="10" t="s">
        <v>165</v>
      </c>
    </row>
    <row r="2" ht="14.25" customHeight="1">
      <c r="A2" s="164" t="s">
        <v>334</v>
      </c>
      <c r="B2" s="165"/>
      <c r="C2" s="24"/>
      <c r="D2" s="24"/>
      <c r="E2" s="166"/>
      <c r="F2" s="139"/>
      <c r="G2" s="167"/>
      <c r="H2" s="139"/>
      <c r="I2" s="168" t="s">
        <v>335</v>
      </c>
      <c r="J2" s="169" t="s">
        <v>188</v>
      </c>
      <c r="K2" s="139" t="s">
        <v>115</v>
      </c>
      <c r="L2" s="164" t="s">
        <v>334</v>
      </c>
      <c r="M2" s="13" t="s">
        <v>62</v>
      </c>
      <c r="N2" s="13" t="s">
        <v>63</v>
      </c>
      <c r="O2" s="170">
        <v>8000.0</v>
      </c>
      <c r="P2" s="171" t="s">
        <v>116</v>
      </c>
      <c r="Q2" s="43" t="s">
        <v>84</v>
      </c>
      <c r="R2" s="19">
        <v>100.0</v>
      </c>
      <c r="S2" s="44" t="s">
        <v>69</v>
      </c>
      <c r="T2" s="16" t="s">
        <v>66</v>
      </c>
      <c r="U2" s="172">
        <v>2.01</v>
      </c>
      <c r="V2" s="173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74">
        <v>83.07</v>
      </c>
      <c r="AB2" s="175">
        <v>25.0</v>
      </c>
      <c r="AC2" s="19">
        <v>2.5</v>
      </c>
      <c r="AD2" s="19">
        <v>6.0</v>
      </c>
      <c r="AE2" s="19">
        <v>7.8</v>
      </c>
      <c r="AF2" s="176">
        <v>0.0</v>
      </c>
      <c r="AG2" s="23" t="s">
        <v>69</v>
      </c>
      <c r="AH2" s="169" t="s">
        <v>70</v>
      </c>
      <c r="AI2" s="25">
        <v>2220.0</v>
      </c>
      <c r="AJ2" s="22" t="s">
        <v>71</v>
      </c>
      <c r="AK2" s="22">
        <v>335.4</v>
      </c>
      <c r="AL2" s="22">
        <v>10.7</v>
      </c>
      <c r="AM2" s="22">
        <v>0.0</v>
      </c>
      <c r="AN2" s="26" t="s">
        <v>72</v>
      </c>
      <c r="AO2" s="177">
        <v>0.0</v>
      </c>
      <c r="AP2" s="178">
        <v>495.0</v>
      </c>
      <c r="AQ2" s="179">
        <v>665.0</v>
      </c>
      <c r="AR2" s="179">
        <v>8066.0</v>
      </c>
      <c r="AS2" s="180">
        <v>25.0</v>
      </c>
      <c r="AT2" s="180">
        <v>25.0</v>
      </c>
      <c r="AU2" s="179">
        <f t="shared" ref="AU2:AW2" si="1">0.7*AP2</f>
        <v>346.5</v>
      </c>
      <c r="AV2" s="179">
        <f t="shared" si="1"/>
        <v>465.5</v>
      </c>
      <c r="AW2" s="179">
        <f t="shared" si="1"/>
        <v>5646.2</v>
      </c>
      <c r="AX2" s="181">
        <v>25.0</v>
      </c>
      <c r="AY2" s="181">
        <v>25.0</v>
      </c>
      <c r="AZ2" s="182">
        <v>0.0</v>
      </c>
      <c r="BA2" s="51" t="s">
        <v>72</v>
      </c>
      <c r="BB2" s="177">
        <v>0.0</v>
      </c>
      <c r="BC2" s="144">
        <v>0.0</v>
      </c>
      <c r="BD2" s="48" t="s">
        <v>141</v>
      </c>
      <c r="BE2" s="49">
        <v>1.0</v>
      </c>
      <c r="BF2" s="183">
        <v>30.0</v>
      </c>
      <c r="BG2" s="51" t="s">
        <v>72</v>
      </c>
      <c r="BH2" s="177">
        <v>0.0</v>
      </c>
      <c r="BI2" s="168" t="s">
        <v>336</v>
      </c>
      <c r="BJ2" s="133"/>
      <c r="BK2" s="134"/>
      <c r="BL2" s="184"/>
      <c r="BM2" s="144">
        <v>-241084.0</v>
      </c>
      <c r="BN2" s="137"/>
      <c r="BO2" s="137"/>
      <c r="BP2" s="137"/>
      <c r="BQ2" s="137"/>
      <c r="BR2" s="137"/>
      <c r="BS2" s="137"/>
      <c r="BT2" s="137"/>
      <c r="BU2" s="137"/>
      <c r="BV2" s="137"/>
      <c r="BW2" s="185"/>
      <c r="BX2" s="186"/>
      <c r="BY2" s="186"/>
      <c r="BZ2" s="187"/>
      <c r="CA2" s="188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90"/>
    </row>
    <row r="3" ht="14.25" customHeight="1">
      <c r="A3" s="164" t="s">
        <v>337</v>
      </c>
      <c r="B3" s="165"/>
      <c r="C3" s="24"/>
      <c r="D3" s="24"/>
      <c r="E3" s="166"/>
      <c r="F3" s="139"/>
      <c r="G3" s="124"/>
      <c r="H3" s="191"/>
      <c r="I3" s="168" t="s">
        <v>338</v>
      </c>
      <c r="J3" s="169" t="s">
        <v>188</v>
      </c>
      <c r="K3" s="139" t="s">
        <v>115</v>
      </c>
      <c r="L3" s="164" t="s">
        <v>337</v>
      </c>
      <c r="M3" s="13" t="s">
        <v>62</v>
      </c>
      <c r="N3" s="13" t="s">
        <v>63</v>
      </c>
      <c r="O3" s="170">
        <v>8000.0</v>
      </c>
      <c r="P3" s="171" t="s">
        <v>116</v>
      </c>
      <c r="Q3" s="43" t="s">
        <v>84</v>
      </c>
      <c r="R3" s="19">
        <v>100.0</v>
      </c>
      <c r="S3" s="44" t="s">
        <v>69</v>
      </c>
      <c r="T3" s="16" t="s">
        <v>66</v>
      </c>
      <c r="U3" s="172">
        <v>2.01</v>
      </c>
      <c r="V3" s="173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74">
        <v>83.07</v>
      </c>
      <c r="AB3" s="175">
        <v>10.0</v>
      </c>
      <c r="AC3" s="19">
        <v>2.5</v>
      </c>
      <c r="AD3" s="19">
        <v>6.0</v>
      </c>
      <c r="AE3" s="19">
        <v>7.8</v>
      </c>
      <c r="AF3" s="176">
        <v>0.0</v>
      </c>
      <c r="AG3" s="23" t="s">
        <v>69</v>
      </c>
      <c r="AH3" s="169" t="s">
        <v>70</v>
      </c>
      <c r="AI3" s="25">
        <v>0.0</v>
      </c>
      <c r="AJ3" s="22" t="s">
        <v>71</v>
      </c>
      <c r="AK3" s="22">
        <v>335.4</v>
      </c>
      <c r="AL3" s="22">
        <v>10.7</v>
      </c>
      <c r="AM3" s="22">
        <v>0.0</v>
      </c>
      <c r="AN3" s="26" t="s">
        <v>72</v>
      </c>
      <c r="AO3" s="177">
        <v>0.0</v>
      </c>
      <c r="AP3" s="178">
        <v>0.0</v>
      </c>
      <c r="AQ3" s="179">
        <v>0.0</v>
      </c>
      <c r="AR3" s="179">
        <v>0.0</v>
      </c>
      <c r="AS3" s="180">
        <v>25.0</v>
      </c>
      <c r="AT3" s="180">
        <v>25.0</v>
      </c>
      <c r="AU3" s="179">
        <f t="shared" ref="AU3:AW3" si="2">0.7*AP3</f>
        <v>0</v>
      </c>
      <c r="AV3" s="179">
        <f t="shared" si="2"/>
        <v>0</v>
      </c>
      <c r="AW3" s="179">
        <f t="shared" si="2"/>
        <v>0</v>
      </c>
      <c r="AX3" s="181">
        <v>25.0</v>
      </c>
      <c r="AY3" s="181">
        <v>25.0</v>
      </c>
      <c r="AZ3" s="182">
        <v>0.0</v>
      </c>
      <c r="BA3" s="51" t="s">
        <v>72</v>
      </c>
      <c r="BB3" s="177">
        <v>0.0</v>
      </c>
      <c r="BC3" s="144">
        <v>0.0</v>
      </c>
      <c r="BD3" s="48" t="s">
        <v>141</v>
      </c>
      <c r="BE3" s="49">
        <v>1.0</v>
      </c>
      <c r="BF3" s="183">
        <v>30.0</v>
      </c>
      <c r="BG3" s="51" t="s">
        <v>72</v>
      </c>
      <c r="BH3" s="177">
        <v>0.0</v>
      </c>
      <c r="BI3" s="168" t="s">
        <v>339</v>
      </c>
      <c r="BJ3" s="140"/>
      <c r="BK3" s="141"/>
      <c r="BL3" s="143"/>
      <c r="BM3" s="144">
        <v>41287.0</v>
      </c>
      <c r="BN3" s="137"/>
      <c r="BO3" s="137"/>
      <c r="BP3" s="137"/>
      <c r="BQ3" s="137"/>
      <c r="BR3" s="137"/>
      <c r="BS3" s="137"/>
      <c r="BT3" s="137"/>
      <c r="BU3" s="137"/>
      <c r="BV3" s="137"/>
      <c r="BW3" s="142"/>
      <c r="BX3" s="19"/>
      <c r="BY3" s="19"/>
      <c r="BZ3" s="32"/>
      <c r="CA3" s="13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139"/>
    </row>
    <row r="4" ht="14.25" customHeight="1">
      <c r="A4" s="164" t="s">
        <v>340</v>
      </c>
      <c r="B4" s="165"/>
      <c r="C4" s="24"/>
      <c r="D4" s="24"/>
      <c r="E4" s="171"/>
      <c r="F4" s="192"/>
      <c r="G4" s="167"/>
      <c r="H4" s="139"/>
      <c r="I4" s="168" t="s">
        <v>341</v>
      </c>
      <c r="J4" s="169" t="s">
        <v>188</v>
      </c>
      <c r="K4" s="139" t="s">
        <v>115</v>
      </c>
      <c r="L4" s="164" t="s">
        <v>340</v>
      </c>
      <c r="M4" s="13" t="s">
        <v>62</v>
      </c>
      <c r="N4" s="13" t="s">
        <v>63</v>
      </c>
      <c r="O4" s="170">
        <v>8000.0</v>
      </c>
      <c r="P4" s="171" t="s">
        <v>116</v>
      </c>
      <c r="Q4" s="39" t="s">
        <v>85</v>
      </c>
      <c r="R4" s="74" t="s">
        <v>69</v>
      </c>
      <c r="S4" s="5">
        <v>0.06713</v>
      </c>
      <c r="T4" s="16" t="s">
        <v>66</v>
      </c>
      <c r="U4" s="172">
        <v>2.01</v>
      </c>
      <c r="V4" s="173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74">
        <v>83.07</v>
      </c>
      <c r="AB4" s="175">
        <v>25.0</v>
      </c>
      <c r="AC4" s="19">
        <v>2.5</v>
      </c>
      <c r="AD4" s="19">
        <v>6.0</v>
      </c>
      <c r="AE4" s="19">
        <v>7.8</v>
      </c>
      <c r="AF4" s="176">
        <v>0.0</v>
      </c>
      <c r="AG4" s="23" t="s">
        <v>69</v>
      </c>
      <c r="AH4" s="169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177">
        <v>0.0</v>
      </c>
      <c r="AP4" s="178">
        <v>495.0</v>
      </c>
      <c r="AQ4" s="179">
        <v>665.0</v>
      </c>
      <c r="AR4" s="179">
        <v>8066.0</v>
      </c>
      <c r="AS4" s="180">
        <v>25.0</v>
      </c>
      <c r="AT4" s="180">
        <v>25.0</v>
      </c>
      <c r="AU4" s="179">
        <f t="shared" ref="AU4:AW4" si="3">0.7*AP4</f>
        <v>346.5</v>
      </c>
      <c r="AV4" s="179">
        <f t="shared" si="3"/>
        <v>465.5</v>
      </c>
      <c r="AW4" s="179">
        <f t="shared" si="3"/>
        <v>5646.2</v>
      </c>
      <c r="AX4" s="181">
        <v>25.0</v>
      </c>
      <c r="AY4" s="181">
        <v>25.0</v>
      </c>
      <c r="AZ4" s="182">
        <v>0.0</v>
      </c>
      <c r="BA4" s="51" t="s">
        <v>72</v>
      </c>
      <c r="BB4" s="177">
        <v>0.0</v>
      </c>
      <c r="BC4" s="144">
        <v>0.0</v>
      </c>
      <c r="BD4" s="48" t="s">
        <v>141</v>
      </c>
      <c r="BE4" s="49">
        <v>1.0</v>
      </c>
      <c r="BF4" s="183">
        <v>30.0</v>
      </c>
      <c r="BG4" s="51" t="s">
        <v>72</v>
      </c>
      <c r="BH4" s="177">
        <v>0.0</v>
      </c>
      <c r="BI4" s="168" t="s">
        <v>342</v>
      </c>
      <c r="BJ4" s="142"/>
      <c r="BK4" s="141"/>
      <c r="BL4" s="143"/>
      <c r="BM4" s="144">
        <v>-330906.0</v>
      </c>
      <c r="BN4" s="141"/>
      <c r="BO4" s="19"/>
      <c r="BP4" s="137"/>
      <c r="BQ4" s="19"/>
      <c r="BR4" s="19"/>
      <c r="BS4" s="19"/>
      <c r="BT4" s="19"/>
      <c r="BU4" s="19"/>
      <c r="BV4" s="137"/>
      <c r="BW4" s="142"/>
      <c r="BX4" s="19"/>
      <c r="BY4" s="19"/>
      <c r="BZ4" s="32"/>
      <c r="CA4" s="13"/>
      <c r="CB4" s="34"/>
      <c r="CC4" s="34"/>
      <c r="CD4" s="34"/>
      <c r="CE4" s="33"/>
      <c r="CF4" s="34"/>
      <c r="CG4" s="34"/>
      <c r="CH4" s="34"/>
      <c r="CI4" s="34"/>
      <c r="CJ4" s="34"/>
      <c r="CK4" s="34"/>
      <c r="CL4" s="139"/>
    </row>
    <row r="5" ht="14.25" customHeight="1">
      <c r="A5" s="164" t="s">
        <v>343</v>
      </c>
      <c r="B5" s="165"/>
      <c r="C5" s="24"/>
      <c r="D5" s="24"/>
      <c r="E5" s="171"/>
      <c r="F5" s="192"/>
      <c r="G5" s="124"/>
      <c r="H5" s="191"/>
      <c r="I5" s="168" t="s">
        <v>344</v>
      </c>
      <c r="J5" s="169" t="s">
        <v>188</v>
      </c>
      <c r="K5" s="139" t="s">
        <v>115</v>
      </c>
      <c r="L5" s="164" t="s">
        <v>343</v>
      </c>
      <c r="M5" s="13" t="s">
        <v>62</v>
      </c>
      <c r="N5" s="13" t="s">
        <v>63</v>
      </c>
      <c r="O5" s="170">
        <v>8000.0</v>
      </c>
      <c r="P5" s="171" t="s">
        <v>116</v>
      </c>
      <c r="Q5" s="39" t="s">
        <v>85</v>
      </c>
      <c r="R5" s="74" t="s">
        <v>69</v>
      </c>
      <c r="S5" s="5">
        <v>0.06713</v>
      </c>
      <c r="T5" s="16" t="s">
        <v>66</v>
      </c>
      <c r="U5" s="172">
        <v>2.01</v>
      </c>
      <c r="V5" s="173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74">
        <v>83.07</v>
      </c>
      <c r="AB5" s="175">
        <v>10.0</v>
      </c>
      <c r="AC5" s="19">
        <v>2.5</v>
      </c>
      <c r="AD5" s="19">
        <v>6.0</v>
      </c>
      <c r="AE5" s="19">
        <v>7.8</v>
      </c>
      <c r="AF5" s="176">
        <v>0.0</v>
      </c>
      <c r="AG5" s="23" t="s">
        <v>69</v>
      </c>
      <c r="AH5" s="169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177">
        <v>0.0</v>
      </c>
      <c r="AP5" s="178">
        <v>0.0</v>
      </c>
      <c r="AQ5" s="179">
        <v>0.0</v>
      </c>
      <c r="AR5" s="179">
        <v>0.0</v>
      </c>
      <c r="AS5" s="180">
        <v>25.0</v>
      </c>
      <c r="AT5" s="180">
        <v>25.0</v>
      </c>
      <c r="AU5" s="179">
        <f t="shared" ref="AU5:AW5" si="4">0.7*AP5</f>
        <v>0</v>
      </c>
      <c r="AV5" s="179">
        <f t="shared" si="4"/>
        <v>0</v>
      </c>
      <c r="AW5" s="179">
        <f t="shared" si="4"/>
        <v>0</v>
      </c>
      <c r="AX5" s="181">
        <v>25.0</v>
      </c>
      <c r="AY5" s="181">
        <v>25.0</v>
      </c>
      <c r="AZ5" s="182">
        <v>0.0</v>
      </c>
      <c r="BA5" s="51" t="s">
        <v>72</v>
      </c>
      <c r="BB5" s="177">
        <v>0.0</v>
      </c>
      <c r="BC5" s="144">
        <v>0.0</v>
      </c>
      <c r="BD5" s="48" t="s">
        <v>141</v>
      </c>
      <c r="BE5" s="49">
        <v>1.0</v>
      </c>
      <c r="BF5" s="183">
        <v>30.0</v>
      </c>
      <c r="BG5" s="51" t="s">
        <v>72</v>
      </c>
      <c r="BH5" s="177">
        <v>0.0</v>
      </c>
      <c r="BI5" s="168" t="s">
        <v>345</v>
      </c>
      <c r="BJ5" s="142"/>
      <c r="BK5" s="141"/>
      <c r="BL5" s="143"/>
      <c r="BM5" s="144">
        <v>11828.0</v>
      </c>
      <c r="BN5" s="137"/>
      <c r="BO5" s="19"/>
      <c r="BP5" s="137"/>
      <c r="BQ5" s="19"/>
      <c r="BR5" s="19"/>
      <c r="BS5" s="19"/>
      <c r="BT5" s="19"/>
      <c r="BU5" s="19"/>
      <c r="BV5" s="137"/>
      <c r="BW5" s="142"/>
      <c r="BX5" s="19"/>
      <c r="BY5" s="19"/>
      <c r="BZ5" s="32"/>
      <c r="CA5" s="13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139"/>
    </row>
    <row r="6" ht="14.25" customHeight="1">
      <c r="A6" s="164" t="s">
        <v>346</v>
      </c>
      <c r="B6" s="171"/>
      <c r="C6" s="193"/>
      <c r="D6" s="24"/>
      <c r="E6" s="166"/>
      <c r="F6" s="139"/>
      <c r="G6" s="194"/>
      <c r="H6" s="195"/>
      <c r="I6" s="168" t="s">
        <v>347</v>
      </c>
      <c r="J6" s="169" t="s">
        <v>188</v>
      </c>
      <c r="K6" s="139" t="s">
        <v>115</v>
      </c>
      <c r="L6" s="164" t="s">
        <v>346</v>
      </c>
      <c r="M6" s="5" t="s">
        <v>62</v>
      </c>
      <c r="N6" s="13" t="s">
        <v>63</v>
      </c>
      <c r="O6" s="170">
        <v>8000.0</v>
      </c>
      <c r="P6" s="171" t="s">
        <v>116</v>
      </c>
      <c r="Q6" s="43" t="s">
        <v>84</v>
      </c>
      <c r="R6" s="19">
        <v>100.0</v>
      </c>
      <c r="S6" s="44" t="s">
        <v>69</v>
      </c>
      <c r="T6" s="16" t="s">
        <v>66</v>
      </c>
      <c r="U6" s="196">
        <v>2.01</v>
      </c>
      <c r="V6" s="173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195">
        <v>83.07</v>
      </c>
      <c r="AB6" s="175">
        <v>25.0</v>
      </c>
      <c r="AC6" s="19">
        <v>2.5</v>
      </c>
      <c r="AD6" s="19">
        <v>6.0</v>
      </c>
      <c r="AE6" s="19">
        <v>7.8</v>
      </c>
      <c r="AF6" s="176">
        <v>0.0</v>
      </c>
      <c r="AG6" s="23" t="s">
        <v>69</v>
      </c>
      <c r="AH6" s="169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177">
        <v>0.0</v>
      </c>
      <c r="AP6" s="178">
        <v>495.0</v>
      </c>
      <c r="AQ6" s="179">
        <v>665.0</v>
      </c>
      <c r="AR6" s="179">
        <v>8066.0</v>
      </c>
      <c r="AS6" s="180">
        <v>50.0</v>
      </c>
      <c r="AT6" s="180">
        <v>50.0</v>
      </c>
      <c r="AU6" s="179">
        <f t="shared" ref="AU6:AW6" si="5">0.7*AP6</f>
        <v>346.5</v>
      </c>
      <c r="AV6" s="179">
        <f t="shared" si="5"/>
        <v>465.5</v>
      </c>
      <c r="AW6" s="179">
        <f t="shared" si="5"/>
        <v>5646.2</v>
      </c>
      <c r="AX6" s="181">
        <v>25.0</v>
      </c>
      <c r="AY6" s="181">
        <v>25.0</v>
      </c>
      <c r="AZ6" s="182">
        <v>0.0</v>
      </c>
      <c r="BA6" s="51" t="s">
        <v>72</v>
      </c>
      <c r="BB6" s="177">
        <v>0.0</v>
      </c>
      <c r="BC6" s="144">
        <v>0.0</v>
      </c>
      <c r="BD6" s="48" t="s">
        <v>141</v>
      </c>
      <c r="BE6" s="49">
        <v>1.0</v>
      </c>
      <c r="BF6" s="183">
        <v>30.0</v>
      </c>
      <c r="BG6" s="51" t="s">
        <v>72</v>
      </c>
      <c r="BH6" s="177">
        <v>0.0</v>
      </c>
      <c r="BI6" s="168" t="s">
        <v>348</v>
      </c>
      <c r="BJ6" s="142"/>
      <c r="BK6" s="141"/>
      <c r="BL6" s="143"/>
      <c r="BM6" s="144">
        <v>-266401.0</v>
      </c>
      <c r="BN6" s="141"/>
      <c r="BO6" s="19"/>
      <c r="BP6" s="137"/>
      <c r="BQ6" s="19"/>
      <c r="BR6" s="19"/>
      <c r="BS6" s="19"/>
      <c r="BT6" s="19"/>
      <c r="BU6" s="19"/>
      <c r="BV6" s="145"/>
      <c r="BW6" s="142"/>
      <c r="BX6" s="19"/>
      <c r="BY6" s="19"/>
      <c r="BZ6" s="120"/>
      <c r="CA6" s="5"/>
      <c r="CB6" s="33"/>
      <c r="CC6" s="33"/>
      <c r="CD6" s="34"/>
      <c r="CE6" s="33"/>
      <c r="CF6" s="33"/>
      <c r="CG6" s="34"/>
      <c r="CH6" s="34"/>
      <c r="CI6" s="34"/>
      <c r="CJ6" s="34"/>
      <c r="CK6" s="34"/>
      <c r="CL6" s="195"/>
    </row>
    <row r="7" ht="14.25" customHeight="1">
      <c r="A7" s="164" t="s">
        <v>349</v>
      </c>
      <c r="B7" s="171"/>
      <c r="C7" s="193"/>
      <c r="D7" s="24"/>
      <c r="E7" s="166"/>
      <c r="F7" s="139"/>
      <c r="G7" s="171"/>
      <c r="H7" s="197"/>
      <c r="I7" s="168" t="s">
        <v>350</v>
      </c>
      <c r="J7" s="169" t="s">
        <v>188</v>
      </c>
      <c r="K7" s="139" t="s">
        <v>115</v>
      </c>
      <c r="L7" s="164" t="s">
        <v>349</v>
      </c>
      <c r="M7" s="13" t="s">
        <v>62</v>
      </c>
      <c r="N7" s="13" t="s">
        <v>63</v>
      </c>
      <c r="O7" s="170">
        <v>8000.0</v>
      </c>
      <c r="P7" s="171" t="s">
        <v>116</v>
      </c>
      <c r="Q7" s="43" t="s">
        <v>84</v>
      </c>
      <c r="R7" s="19">
        <v>100.0</v>
      </c>
      <c r="S7" s="44" t="s">
        <v>69</v>
      </c>
      <c r="T7" s="16" t="s">
        <v>66</v>
      </c>
      <c r="U7" s="196">
        <v>2.01</v>
      </c>
      <c r="V7" s="173" t="s">
        <v>67</v>
      </c>
      <c r="W7" s="19">
        <v>2024.0</v>
      </c>
      <c r="X7" s="76" t="s">
        <v>68</v>
      </c>
      <c r="Y7" s="5">
        <v>100.0</v>
      </c>
      <c r="Z7" s="19">
        <v>2024.0</v>
      </c>
      <c r="AA7" s="195">
        <v>83.07</v>
      </c>
      <c r="AB7" s="175">
        <v>10.0</v>
      </c>
      <c r="AC7" s="19">
        <v>2.5</v>
      </c>
      <c r="AD7" s="19">
        <v>6.0</v>
      </c>
      <c r="AE7" s="19">
        <v>7.8</v>
      </c>
      <c r="AF7" s="176">
        <v>0.0</v>
      </c>
      <c r="AG7" s="23" t="s">
        <v>69</v>
      </c>
      <c r="AH7" s="169" t="s">
        <v>70</v>
      </c>
      <c r="AI7" s="25">
        <v>0.0</v>
      </c>
      <c r="AJ7" s="22" t="s">
        <v>71</v>
      </c>
      <c r="AK7" s="22">
        <v>335.4</v>
      </c>
      <c r="AL7" s="22">
        <v>10.7</v>
      </c>
      <c r="AM7" s="22">
        <v>0.0</v>
      </c>
      <c r="AN7" s="26" t="s">
        <v>72</v>
      </c>
      <c r="AO7" s="177">
        <v>0.0</v>
      </c>
      <c r="AP7" s="178">
        <v>0.0</v>
      </c>
      <c r="AQ7" s="179">
        <v>0.0</v>
      </c>
      <c r="AR7" s="179">
        <v>0.0</v>
      </c>
      <c r="AS7" s="180">
        <v>50.0</v>
      </c>
      <c r="AT7" s="180">
        <v>50.0</v>
      </c>
      <c r="AU7" s="179">
        <f t="shared" ref="AU7:AW7" si="6">0.7*AP7</f>
        <v>0</v>
      </c>
      <c r="AV7" s="179">
        <f t="shared" si="6"/>
        <v>0</v>
      </c>
      <c r="AW7" s="179">
        <f t="shared" si="6"/>
        <v>0</v>
      </c>
      <c r="AX7" s="181">
        <v>25.0</v>
      </c>
      <c r="AY7" s="181">
        <v>25.0</v>
      </c>
      <c r="AZ7" s="182">
        <v>0.0</v>
      </c>
      <c r="BA7" s="51" t="s">
        <v>72</v>
      </c>
      <c r="BB7" s="177">
        <v>0.0</v>
      </c>
      <c r="BC7" s="144">
        <v>0.0</v>
      </c>
      <c r="BD7" s="48" t="s">
        <v>141</v>
      </c>
      <c r="BE7" s="49">
        <v>1.0</v>
      </c>
      <c r="BF7" s="183">
        <v>30.0</v>
      </c>
      <c r="BG7" s="51" t="s">
        <v>72</v>
      </c>
      <c r="BH7" s="177">
        <v>0.0</v>
      </c>
      <c r="BI7" s="168" t="s">
        <v>351</v>
      </c>
      <c r="BJ7" s="142"/>
      <c r="BK7" s="141"/>
      <c r="BL7" s="143"/>
      <c r="BM7" s="144">
        <v>41768.0</v>
      </c>
      <c r="BN7" s="141"/>
      <c r="BO7" s="19"/>
      <c r="BP7" s="137"/>
      <c r="BQ7" s="19"/>
      <c r="BR7" s="19"/>
      <c r="BS7" s="19"/>
      <c r="BT7" s="19"/>
      <c r="BU7" s="19"/>
      <c r="BV7" s="137"/>
      <c r="BW7" s="142"/>
      <c r="BX7" s="19"/>
      <c r="BY7" s="19"/>
      <c r="BZ7" s="32"/>
      <c r="CA7" s="13"/>
      <c r="CB7" s="34"/>
      <c r="CC7" s="34"/>
      <c r="CD7" s="34"/>
      <c r="CE7" s="33"/>
      <c r="CF7" s="34"/>
      <c r="CG7" s="34"/>
      <c r="CH7" s="34"/>
      <c r="CI7" s="34"/>
      <c r="CJ7" s="34"/>
      <c r="CK7" s="34"/>
      <c r="CL7" s="139"/>
    </row>
    <row r="8" ht="14.25" customHeight="1">
      <c r="A8" s="164" t="s">
        <v>352</v>
      </c>
      <c r="B8" s="171"/>
      <c r="C8" s="193"/>
      <c r="D8" s="24"/>
      <c r="E8" s="171"/>
      <c r="F8" s="192"/>
      <c r="G8" s="167"/>
      <c r="H8" s="139"/>
      <c r="I8" s="168" t="s">
        <v>353</v>
      </c>
      <c r="J8" s="169" t="s">
        <v>188</v>
      </c>
      <c r="K8" s="139" t="s">
        <v>115</v>
      </c>
      <c r="L8" s="164" t="s">
        <v>352</v>
      </c>
      <c r="M8" s="13" t="s">
        <v>62</v>
      </c>
      <c r="N8" s="13" t="s">
        <v>63</v>
      </c>
      <c r="O8" s="170">
        <v>8000.0</v>
      </c>
      <c r="P8" s="171" t="s">
        <v>116</v>
      </c>
      <c r="Q8" s="39" t="s">
        <v>85</v>
      </c>
      <c r="R8" s="74" t="s">
        <v>69</v>
      </c>
      <c r="S8" s="5">
        <v>0.06713</v>
      </c>
      <c r="T8" s="16" t="s">
        <v>66</v>
      </c>
      <c r="U8" s="196">
        <v>2.01</v>
      </c>
      <c r="V8" s="173" t="s">
        <v>67</v>
      </c>
      <c r="W8" s="19">
        <v>2024.0</v>
      </c>
      <c r="X8" s="76" t="s">
        <v>68</v>
      </c>
      <c r="Y8" s="5">
        <v>100.0</v>
      </c>
      <c r="Z8" s="19">
        <v>2024.0</v>
      </c>
      <c r="AA8" s="195">
        <v>83.07</v>
      </c>
      <c r="AB8" s="175">
        <v>25.0</v>
      </c>
      <c r="AC8" s="19">
        <v>2.5</v>
      </c>
      <c r="AD8" s="19">
        <v>6.0</v>
      </c>
      <c r="AE8" s="19">
        <v>7.8</v>
      </c>
      <c r="AF8" s="176">
        <v>0.0</v>
      </c>
      <c r="AG8" s="23" t="s">
        <v>69</v>
      </c>
      <c r="AH8" s="169" t="s">
        <v>70</v>
      </c>
      <c r="AI8" s="25">
        <v>2220.0</v>
      </c>
      <c r="AJ8" s="22" t="s">
        <v>71</v>
      </c>
      <c r="AK8" s="22">
        <v>335.4</v>
      </c>
      <c r="AL8" s="22">
        <v>10.7</v>
      </c>
      <c r="AM8" s="22">
        <v>0.0</v>
      </c>
      <c r="AN8" s="26" t="s">
        <v>72</v>
      </c>
      <c r="AO8" s="177">
        <v>0.0</v>
      </c>
      <c r="AP8" s="178">
        <v>495.0</v>
      </c>
      <c r="AQ8" s="179">
        <v>665.0</v>
      </c>
      <c r="AR8" s="179">
        <v>8066.0</v>
      </c>
      <c r="AS8" s="180">
        <v>50.0</v>
      </c>
      <c r="AT8" s="180">
        <v>50.0</v>
      </c>
      <c r="AU8" s="179">
        <f t="shared" ref="AU8:AW8" si="7">0.7*AP8</f>
        <v>346.5</v>
      </c>
      <c r="AV8" s="179">
        <f t="shared" si="7"/>
        <v>465.5</v>
      </c>
      <c r="AW8" s="179">
        <f t="shared" si="7"/>
        <v>5646.2</v>
      </c>
      <c r="AX8" s="181">
        <v>25.0</v>
      </c>
      <c r="AY8" s="181">
        <v>25.0</v>
      </c>
      <c r="AZ8" s="182">
        <v>0.0</v>
      </c>
      <c r="BA8" s="51" t="s">
        <v>72</v>
      </c>
      <c r="BB8" s="177">
        <v>0.0</v>
      </c>
      <c r="BC8" s="144">
        <v>0.0</v>
      </c>
      <c r="BD8" s="48" t="s">
        <v>141</v>
      </c>
      <c r="BE8" s="49">
        <v>1.0</v>
      </c>
      <c r="BF8" s="183">
        <v>30.0</v>
      </c>
      <c r="BG8" s="51" t="s">
        <v>72</v>
      </c>
      <c r="BH8" s="177">
        <v>0.0</v>
      </c>
      <c r="BI8" s="168" t="s">
        <v>354</v>
      </c>
      <c r="BJ8" s="142"/>
      <c r="BK8" s="141"/>
      <c r="BL8" s="143"/>
      <c r="BM8" s="144">
        <v>-343896.0</v>
      </c>
      <c r="BN8" s="141"/>
      <c r="BO8" s="19"/>
      <c r="BP8" s="137"/>
      <c r="BQ8" s="19"/>
      <c r="BR8" s="19"/>
      <c r="BS8" s="19"/>
      <c r="BT8" s="19"/>
      <c r="BU8" s="19"/>
      <c r="BV8" s="137"/>
      <c r="BW8" s="142"/>
      <c r="BX8" s="19"/>
      <c r="BY8" s="19"/>
      <c r="BZ8" s="32"/>
      <c r="CA8" s="13"/>
      <c r="CB8" s="34"/>
      <c r="CC8" s="34"/>
      <c r="CD8" s="34"/>
      <c r="CE8" s="33"/>
      <c r="CF8" s="34"/>
      <c r="CG8" s="34"/>
      <c r="CH8" s="34"/>
      <c r="CI8" s="34"/>
      <c r="CJ8" s="34"/>
      <c r="CK8" s="34"/>
      <c r="CL8" s="139"/>
    </row>
    <row r="9" ht="14.25" customHeight="1">
      <c r="A9" s="164" t="s">
        <v>355</v>
      </c>
      <c r="B9" s="171"/>
      <c r="C9" s="193"/>
      <c r="D9" s="24"/>
      <c r="E9" s="171"/>
      <c r="F9" s="192"/>
      <c r="G9" s="124"/>
      <c r="H9" s="191"/>
      <c r="I9" s="168" t="s">
        <v>356</v>
      </c>
      <c r="J9" s="169" t="s">
        <v>188</v>
      </c>
      <c r="K9" s="139" t="s">
        <v>115</v>
      </c>
      <c r="L9" s="164" t="s">
        <v>355</v>
      </c>
      <c r="M9" s="13" t="s">
        <v>62</v>
      </c>
      <c r="N9" s="13" t="s">
        <v>63</v>
      </c>
      <c r="O9" s="170">
        <v>8000.0</v>
      </c>
      <c r="P9" s="171" t="s">
        <v>116</v>
      </c>
      <c r="Q9" s="39" t="s">
        <v>85</v>
      </c>
      <c r="R9" s="74" t="s">
        <v>69</v>
      </c>
      <c r="S9" s="5">
        <v>0.06713</v>
      </c>
      <c r="T9" s="16" t="s">
        <v>66</v>
      </c>
      <c r="U9" s="196">
        <v>2.01</v>
      </c>
      <c r="V9" s="173" t="s">
        <v>67</v>
      </c>
      <c r="W9" s="19">
        <v>2024.0</v>
      </c>
      <c r="X9" s="76" t="s">
        <v>68</v>
      </c>
      <c r="Y9" s="5">
        <v>100.0</v>
      </c>
      <c r="Z9" s="19">
        <v>2024.0</v>
      </c>
      <c r="AA9" s="195">
        <v>83.07</v>
      </c>
      <c r="AB9" s="175">
        <v>10.0</v>
      </c>
      <c r="AC9" s="19">
        <v>2.5</v>
      </c>
      <c r="AD9" s="19">
        <v>6.0</v>
      </c>
      <c r="AE9" s="19">
        <v>7.8</v>
      </c>
      <c r="AF9" s="176">
        <v>0.0</v>
      </c>
      <c r="AG9" s="23" t="s">
        <v>69</v>
      </c>
      <c r="AH9" s="169" t="s">
        <v>70</v>
      </c>
      <c r="AI9" s="25">
        <v>0.0</v>
      </c>
      <c r="AJ9" s="22" t="s">
        <v>71</v>
      </c>
      <c r="AK9" s="22">
        <v>335.4</v>
      </c>
      <c r="AL9" s="22">
        <v>10.7</v>
      </c>
      <c r="AM9" s="22">
        <v>0.0</v>
      </c>
      <c r="AN9" s="26" t="s">
        <v>72</v>
      </c>
      <c r="AO9" s="177">
        <v>0.0</v>
      </c>
      <c r="AP9" s="178">
        <v>0.0</v>
      </c>
      <c r="AQ9" s="179">
        <v>0.0</v>
      </c>
      <c r="AR9" s="179">
        <v>0.0</v>
      </c>
      <c r="AS9" s="180">
        <v>50.0</v>
      </c>
      <c r="AT9" s="180">
        <v>50.0</v>
      </c>
      <c r="AU9" s="179">
        <f t="shared" ref="AU9:AW9" si="8">0.7*AP9</f>
        <v>0</v>
      </c>
      <c r="AV9" s="179">
        <f t="shared" si="8"/>
        <v>0</v>
      </c>
      <c r="AW9" s="179">
        <f t="shared" si="8"/>
        <v>0</v>
      </c>
      <c r="AX9" s="181">
        <v>25.0</v>
      </c>
      <c r="AY9" s="181">
        <v>25.0</v>
      </c>
      <c r="AZ9" s="182">
        <v>0.0</v>
      </c>
      <c r="BA9" s="51" t="s">
        <v>72</v>
      </c>
      <c r="BB9" s="177">
        <v>0.0</v>
      </c>
      <c r="BC9" s="144">
        <v>0.0</v>
      </c>
      <c r="BD9" s="48" t="s">
        <v>141</v>
      </c>
      <c r="BE9" s="49">
        <v>1.0</v>
      </c>
      <c r="BF9" s="183">
        <v>30.0</v>
      </c>
      <c r="BG9" s="51" t="s">
        <v>72</v>
      </c>
      <c r="BH9" s="177">
        <v>0.0</v>
      </c>
      <c r="BI9" s="168" t="s">
        <v>357</v>
      </c>
      <c r="BJ9" s="142"/>
      <c r="BK9" s="141"/>
      <c r="BL9" s="143"/>
      <c r="BM9" s="144">
        <v>16210.0</v>
      </c>
      <c r="BN9" s="141"/>
      <c r="BO9" s="19"/>
      <c r="BP9" s="137"/>
      <c r="BQ9" s="19"/>
      <c r="BR9" s="19"/>
      <c r="BS9" s="19"/>
      <c r="BT9" s="19"/>
      <c r="BU9" s="19"/>
      <c r="BV9" s="137"/>
      <c r="BW9" s="142"/>
      <c r="BX9" s="19"/>
      <c r="BY9" s="19"/>
      <c r="BZ9" s="32"/>
      <c r="CA9" s="13"/>
      <c r="CB9" s="34"/>
      <c r="CC9" s="34"/>
      <c r="CD9" s="34"/>
      <c r="CE9" s="33"/>
      <c r="CF9" s="34"/>
      <c r="CG9" s="34"/>
      <c r="CH9" s="34"/>
      <c r="CI9" s="34"/>
      <c r="CJ9" s="34"/>
      <c r="CK9" s="34"/>
      <c r="CL9" s="139"/>
    </row>
    <row r="10" ht="14.25" customHeight="1">
      <c r="A10" s="164" t="s">
        <v>358</v>
      </c>
      <c r="B10" s="171"/>
      <c r="C10" s="198"/>
      <c r="D10" s="199"/>
      <c r="E10" s="166"/>
      <c r="F10" s="139"/>
      <c r="G10" s="167"/>
      <c r="H10" s="139"/>
      <c r="I10" s="168" t="s">
        <v>359</v>
      </c>
      <c r="J10" s="169" t="s">
        <v>188</v>
      </c>
      <c r="K10" s="139" t="s">
        <v>115</v>
      </c>
      <c r="L10" s="164" t="s">
        <v>358</v>
      </c>
      <c r="M10" s="13" t="s">
        <v>62</v>
      </c>
      <c r="N10" s="13" t="s">
        <v>63</v>
      </c>
      <c r="O10" s="170">
        <v>8000.0</v>
      </c>
      <c r="P10" s="171" t="s">
        <v>116</v>
      </c>
      <c r="Q10" s="43" t="s">
        <v>84</v>
      </c>
      <c r="R10" s="19">
        <v>100.0</v>
      </c>
      <c r="S10" s="44" t="s">
        <v>69</v>
      </c>
      <c r="T10" s="16" t="s">
        <v>66</v>
      </c>
      <c r="U10" s="196">
        <v>2.01</v>
      </c>
      <c r="V10" s="173" t="s">
        <v>67</v>
      </c>
      <c r="W10" s="19">
        <v>2024.0</v>
      </c>
      <c r="X10" s="76" t="s">
        <v>68</v>
      </c>
      <c r="Y10" s="5">
        <v>100.0</v>
      </c>
      <c r="Z10" s="19">
        <v>2024.0</v>
      </c>
      <c r="AA10" s="195">
        <v>83.07</v>
      </c>
      <c r="AB10" s="175">
        <v>25.0</v>
      </c>
      <c r="AC10" s="19">
        <v>2.5</v>
      </c>
      <c r="AD10" s="19">
        <v>6.0</v>
      </c>
      <c r="AE10" s="19">
        <v>7.8</v>
      </c>
      <c r="AF10" s="176">
        <v>0.0</v>
      </c>
      <c r="AG10" s="23" t="s">
        <v>69</v>
      </c>
      <c r="AH10" s="169" t="s">
        <v>70</v>
      </c>
      <c r="AI10" s="25">
        <v>2220.0</v>
      </c>
      <c r="AJ10" s="22" t="s">
        <v>71</v>
      </c>
      <c r="AK10" s="22">
        <v>335.4</v>
      </c>
      <c r="AL10" s="22">
        <v>10.7</v>
      </c>
      <c r="AM10" s="22">
        <v>0.0</v>
      </c>
      <c r="AN10" s="26" t="s">
        <v>72</v>
      </c>
      <c r="AO10" s="177">
        <v>0.0</v>
      </c>
      <c r="AP10" s="178">
        <v>495.0</v>
      </c>
      <c r="AQ10" s="179">
        <v>665.0</v>
      </c>
      <c r="AR10" s="179">
        <v>8066.0</v>
      </c>
      <c r="AS10" s="180">
        <v>100.0</v>
      </c>
      <c r="AT10" s="180">
        <v>100.0</v>
      </c>
      <c r="AU10" s="179">
        <f t="shared" ref="AU10:AW10" si="9">0.7*AP10</f>
        <v>346.5</v>
      </c>
      <c r="AV10" s="179">
        <f t="shared" si="9"/>
        <v>465.5</v>
      </c>
      <c r="AW10" s="179">
        <f t="shared" si="9"/>
        <v>5646.2</v>
      </c>
      <c r="AX10" s="181">
        <v>25.0</v>
      </c>
      <c r="AY10" s="181">
        <v>25.0</v>
      </c>
      <c r="AZ10" s="182">
        <v>0.0</v>
      </c>
      <c r="BA10" s="51" t="s">
        <v>72</v>
      </c>
      <c r="BB10" s="177">
        <v>0.0</v>
      </c>
      <c r="BC10" s="144">
        <v>0.0</v>
      </c>
      <c r="BD10" s="48" t="s">
        <v>141</v>
      </c>
      <c r="BE10" s="49">
        <v>1.0</v>
      </c>
      <c r="BF10" s="183">
        <v>30.0</v>
      </c>
      <c r="BG10" s="51" t="s">
        <v>72</v>
      </c>
      <c r="BH10" s="177">
        <v>0.0</v>
      </c>
      <c r="BI10" s="168" t="s">
        <v>360</v>
      </c>
      <c r="BJ10" s="142"/>
      <c r="BK10" s="141"/>
      <c r="BL10" s="143"/>
      <c r="BM10" s="144">
        <v>-318776.0</v>
      </c>
      <c r="BN10" s="141"/>
      <c r="BO10" s="19"/>
      <c r="BP10" s="137"/>
      <c r="BQ10" s="19"/>
      <c r="BR10" s="19"/>
      <c r="BS10" s="19"/>
      <c r="BT10" s="19"/>
      <c r="BU10" s="19"/>
      <c r="BV10" s="137"/>
      <c r="BW10" s="142"/>
      <c r="BX10" s="19"/>
      <c r="BY10" s="19"/>
      <c r="BZ10" s="32"/>
      <c r="CA10" s="13"/>
      <c r="CB10" s="34"/>
      <c r="CC10" s="34"/>
      <c r="CD10" s="34"/>
      <c r="CE10" s="33"/>
      <c r="CF10" s="34"/>
      <c r="CG10" s="34"/>
      <c r="CH10" s="34"/>
      <c r="CI10" s="34"/>
      <c r="CJ10" s="34"/>
      <c r="CK10" s="34"/>
      <c r="CL10" s="139"/>
    </row>
    <row r="11" ht="14.25" customHeight="1">
      <c r="A11" s="164" t="s">
        <v>361</v>
      </c>
      <c r="B11" s="171"/>
      <c r="C11" s="198"/>
      <c r="D11" s="199"/>
      <c r="E11" s="166"/>
      <c r="F11" s="139"/>
      <c r="G11" s="124"/>
      <c r="H11" s="191"/>
      <c r="I11" s="168" t="s">
        <v>362</v>
      </c>
      <c r="J11" s="169" t="s">
        <v>188</v>
      </c>
      <c r="K11" s="139" t="s">
        <v>115</v>
      </c>
      <c r="L11" s="164" t="s">
        <v>361</v>
      </c>
      <c r="M11" s="5" t="s">
        <v>62</v>
      </c>
      <c r="N11" s="13" t="s">
        <v>63</v>
      </c>
      <c r="O11" s="170">
        <v>8000.0</v>
      </c>
      <c r="P11" s="171" t="s">
        <v>116</v>
      </c>
      <c r="Q11" s="43" t="s">
        <v>84</v>
      </c>
      <c r="R11" s="19">
        <v>100.0</v>
      </c>
      <c r="S11" s="44" t="s">
        <v>69</v>
      </c>
      <c r="T11" s="16" t="s">
        <v>66</v>
      </c>
      <c r="U11" s="196">
        <v>2.01</v>
      </c>
      <c r="V11" s="173" t="s">
        <v>67</v>
      </c>
      <c r="W11" s="19">
        <v>2024.0</v>
      </c>
      <c r="X11" s="76" t="s">
        <v>68</v>
      </c>
      <c r="Y11" s="5">
        <v>100.0</v>
      </c>
      <c r="Z11" s="19">
        <v>2024.0</v>
      </c>
      <c r="AA11" s="195">
        <v>83.07</v>
      </c>
      <c r="AB11" s="175">
        <v>10.0</v>
      </c>
      <c r="AC11" s="19">
        <v>2.5</v>
      </c>
      <c r="AD11" s="19">
        <v>6.0</v>
      </c>
      <c r="AE11" s="19">
        <v>7.8</v>
      </c>
      <c r="AF11" s="176">
        <v>0.0</v>
      </c>
      <c r="AG11" s="23" t="s">
        <v>69</v>
      </c>
      <c r="AH11" s="169" t="s">
        <v>70</v>
      </c>
      <c r="AI11" s="25">
        <v>0.0</v>
      </c>
      <c r="AJ11" s="22" t="s">
        <v>71</v>
      </c>
      <c r="AK11" s="22">
        <v>335.4</v>
      </c>
      <c r="AL11" s="22">
        <v>10.7</v>
      </c>
      <c r="AM11" s="22">
        <v>0.0</v>
      </c>
      <c r="AN11" s="26" t="s">
        <v>72</v>
      </c>
      <c r="AO11" s="177">
        <v>0.0</v>
      </c>
      <c r="AP11" s="178">
        <v>0.0</v>
      </c>
      <c r="AQ11" s="179">
        <v>0.0</v>
      </c>
      <c r="AR11" s="179">
        <v>0.0</v>
      </c>
      <c r="AS11" s="180">
        <v>100.0</v>
      </c>
      <c r="AT11" s="180">
        <v>100.0</v>
      </c>
      <c r="AU11" s="179">
        <f t="shared" ref="AU11:AW11" si="10">0.7*AP11</f>
        <v>0</v>
      </c>
      <c r="AV11" s="179">
        <f t="shared" si="10"/>
        <v>0</v>
      </c>
      <c r="AW11" s="179">
        <f t="shared" si="10"/>
        <v>0</v>
      </c>
      <c r="AX11" s="181">
        <v>25.0</v>
      </c>
      <c r="AY11" s="181">
        <v>25.0</v>
      </c>
      <c r="AZ11" s="182">
        <v>0.0</v>
      </c>
      <c r="BA11" s="51" t="s">
        <v>72</v>
      </c>
      <c r="BB11" s="177">
        <v>0.0</v>
      </c>
      <c r="BC11" s="144">
        <v>0.0</v>
      </c>
      <c r="BD11" s="48" t="s">
        <v>141</v>
      </c>
      <c r="BE11" s="49">
        <v>1.0</v>
      </c>
      <c r="BF11" s="183">
        <v>30.0</v>
      </c>
      <c r="BG11" s="51" t="s">
        <v>72</v>
      </c>
      <c r="BH11" s="177">
        <v>0.0</v>
      </c>
      <c r="BI11" s="168" t="s">
        <v>363</v>
      </c>
      <c r="BJ11" s="142"/>
      <c r="BK11" s="141"/>
      <c r="BL11" s="143"/>
      <c r="BM11" s="144">
        <v>42207.0</v>
      </c>
      <c r="BN11" s="141"/>
      <c r="BO11" s="19"/>
      <c r="BP11" s="137"/>
      <c r="BQ11" s="19"/>
      <c r="BR11" s="19"/>
      <c r="BS11" s="19"/>
      <c r="BT11" s="19"/>
      <c r="BU11" s="19"/>
      <c r="BV11" s="137"/>
      <c r="BW11" s="142"/>
      <c r="BX11" s="19"/>
      <c r="BY11" s="19"/>
      <c r="BZ11" s="32"/>
      <c r="CA11" s="13"/>
      <c r="CB11" s="34"/>
      <c r="CC11" s="34"/>
      <c r="CD11" s="34"/>
      <c r="CE11" s="33"/>
      <c r="CF11" s="34"/>
      <c r="CG11" s="34"/>
      <c r="CH11" s="34"/>
      <c r="CI11" s="34"/>
      <c r="CJ11" s="34"/>
      <c r="CK11" s="34"/>
      <c r="CL11" s="139"/>
    </row>
    <row r="12" ht="14.25" customHeight="1">
      <c r="A12" s="164" t="s">
        <v>364</v>
      </c>
      <c r="B12" s="171"/>
      <c r="C12" s="198"/>
      <c r="D12" s="199"/>
      <c r="E12" s="171"/>
      <c r="F12" s="192"/>
      <c r="G12" s="194"/>
      <c r="H12" s="195"/>
      <c r="I12" s="168" t="s">
        <v>365</v>
      </c>
      <c r="J12" s="169" t="s">
        <v>188</v>
      </c>
      <c r="K12" s="139" t="s">
        <v>115</v>
      </c>
      <c r="L12" s="164" t="s">
        <v>364</v>
      </c>
      <c r="M12" s="5" t="s">
        <v>62</v>
      </c>
      <c r="N12" s="13" t="s">
        <v>63</v>
      </c>
      <c r="O12" s="170">
        <v>8000.0</v>
      </c>
      <c r="P12" s="171" t="s">
        <v>116</v>
      </c>
      <c r="Q12" s="39" t="s">
        <v>85</v>
      </c>
      <c r="R12" s="74" t="s">
        <v>69</v>
      </c>
      <c r="S12" s="5">
        <v>0.06713</v>
      </c>
      <c r="T12" s="16" t="s">
        <v>66</v>
      </c>
      <c r="U12" s="196">
        <v>2.01</v>
      </c>
      <c r="V12" s="173" t="s">
        <v>67</v>
      </c>
      <c r="W12" s="19">
        <v>2024.0</v>
      </c>
      <c r="X12" s="76" t="s">
        <v>68</v>
      </c>
      <c r="Y12" s="5">
        <v>100.0</v>
      </c>
      <c r="Z12" s="19">
        <v>2024.0</v>
      </c>
      <c r="AA12" s="195">
        <v>83.07</v>
      </c>
      <c r="AB12" s="175">
        <v>25.0</v>
      </c>
      <c r="AC12" s="5">
        <v>2.5</v>
      </c>
      <c r="AD12" s="5">
        <v>6.0</v>
      </c>
      <c r="AE12" s="19">
        <v>7.8</v>
      </c>
      <c r="AF12" s="176">
        <v>0.0</v>
      </c>
      <c r="AG12" s="23" t="s">
        <v>69</v>
      </c>
      <c r="AH12" s="169" t="s">
        <v>70</v>
      </c>
      <c r="AI12" s="25">
        <v>2220.0</v>
      </c>
      <c r="AJ12" s="22" t="s">
        <v>71</v>
      </c>
      <c r="AK12" s="22">
        <v>335.4</v>
      </c>
      <c r="AL12" s="22">
        <v>10.7</v>
      </c>
      <c r="AM12" s="22">
        <v>0.0</v>
      </c>
      <c r="AN12" s="26" t="s">
        <v>72</v>
      </c>
      <c r="AO12" s="177">
        <v>0.0</v>
      </c>
      <c r="AP12" s="178">
        <v>495.0</v>
      </c>
      <c r="AQ12" s="179">
        <v>665.0</v>
      </c>
      <c r="AR12" s="179">
        <v>8066.0</v>
      </c>
      <c r="AS12" s="180">
        <v>100.0</v>
      </c>
      <c r="AT12" s="180">
        <v>100.0</v>
      </c>
      <c r="AU12" s="179">
        <f t="shared" ref="AU12:AW12" si="11">0.7*AP12</f>
        <v>346.5</v>
      </c>
      <c r="AV12" s="179">
        <f t="shared" si="11"/>
        <v>465.5</v>
      </c>
      <c r="AW12" s="179">
        <f t="shared" si="11"/>
        <v>5646.2</v>
      </c>
      <c r="AX12" s="181">
        <v>25.0</v>
      </c>
      <c r="AY12" s="181">
        <v>25.0</v>
      </c>
      <c r="AZ12" s="182">
        <v>0.0</v>
      </c>
      <c r="BA12" s="51" t="s">
        <v>72</v>
      </c>
      <c r="BB12" s="177">
        <v>0.0</v>
      </c>
      <c r="BC12" s="144">
        <v>0.0</v>
      </c>
      <c r="BD12" s="48" t="s">
        <v>141</v>
      </c>
      <c r="BE12" s="49">
        <v>1.0</v>
      </c>
      <c r="BF12" s="183">
        <v>30.0</v>
      </c>
      <c r="BG12" s="51" t="s">
        <v>72</v>
      </c>
      <c r="BH12" s="177">
        <v>0.0</v>
      </c>
      <c r="BI12" s="168" t="s">
        <v>366</v>
      </c>
      <c r="BJ12" s="142"/>
      <c r="BK12" s="141"/>
      <c r="BL12" s="143"/>
      <c r="BM12" s="144">
        <v>-379926.0</v>
      </c>
      <c r="BN12" s="141"/>
      <c r="BO12" s="19"/>
      <c r="BP12" s="137"/>
      <c r="BQ12" s="19"/>
      <c r="BR12" s="19"/>
      <c r="BS12" s="19"/>
      <c r="BT12" s="19"/>
      <c r="BU12" s="19"/>
      <c r="BV12" s="137"/>
      <c r="BW12" s="142"/>
      <c r="BX12" s="19"/>
      <c r="BY12" s="19"/>
      <c r="BZ12" s="32"/>
      <c r="CA12" s="13"/>
      <c r="CB12" s="34"/>
      <c r="CC12" s="34"/>
      <c r="CD12" s="34"/>
      <c r="CE12" s="33"/>
      <c r="CF12" s="34"/>
      <c r="CG12" s="34"/>
      <c r="CH12" s="34"/>
      <c r="CI12" s="34"/>
      <c r="CJ12" s="34"/>
      <c r="CK12" s="34"/>
      <c r="CL12" s="139"/>
    </row>
    <row r="13" ht="14.25" customHeight="1">
      <c r="A13" s="200" t="s">
        <v>367</v>
      </c>
      <c r="B13" s="201"/>
      <c r="C13" s="202"/>
      <c r="D13" s="203"/>
      <c r="E13" s="201"/>
      <c r="F13" s="204"/>
      <c r="G13" s="201"/>
      <c r="H13" s="205"/>
      <c r="I13" s="168" t="s">
        <v>368</v>
      </c>
      <c r="J13" s="206" t="s">
        <v>188</v>
      </c>
      <c r="K13" s="207" t="s">
        <v>115</v>
      </c>
      <c r="L13" s="200" t="s">
        <v>367</v>
      </c>
      <c r="M13" s="81" t="s">
        <v>62</v>
      </c>
      <c r="N13" s="83" t="s">
        <v>63</v>
      </c>
      <c r="O13" s="209">
        <v>8000.0</v>
      </c>
      <c r="P13" s="128" t="s">
        <v>116</v>
      </c>
      <c r="Q13" s="82" t="s">
        <v>85</v>
      </c>
      <c r="R13" s="88" t="s">
        <v>69</v>
      </c>
      <c r="S13" s="81">
        <v>0.06713</v>
      </c>
      <c r="T13" s="89" t="s">
        <v>66</v>
      </c>
      <c r="U13" s="210">
        <v>2.01</v>
      </c>
      <c r="V13" s="211" t="s">
        <v>67</v>
      </c>
      <c r="W13" s="92">
        <v>2024.0</v>
      </c>
      <c r="X13" s="93" t="s">
        <v>68</v>
      </c>
      <c r="Y13" s="81">
        <v>100.0</v>
      </c>
      <c r="Z13" s="92">
        <v>2024.0</v>
      </c>
      <c r="AA13" s="153">
        <v>83.07</v>
      </c>
      <c r="AB13" s="212">
        <v>10.0</v>
      </c>
      <c r="AC13" s="81">
        <v>2.5</v>
      </c>
      <c r="AD13" s="81">
        <v>6.0</v>
      </c>
      <c r="AE13" s="92">
        <v>7.8</v>
      </c>
      <c r="AF13" s="213">
        <v>0.0</v>
      </c>
      <c r="AG13" s="96" t="s">
        <v>69</v>
      </c>
      <c r="AH13" s="206" t="s">
        <v>70</v>
      </c>
      <c r="AI13" s="98">
        <v>0.0</v>
      </c>
      <c r="AJ13" s="95" t="s">
        <v>71</v>
      </c>
      <c r="AK13" s="95">
        <v>335.4</v>
      </c>
      <c r="AL13" s="95">
        <v>10.7</v>
      </c>
      <c r="AM13" s="95">
        <v>0.0</v>
      </c>
      <c r="AN13" s="99" t="s">
        <v>72</v>
      </c>
      <c r="AO13" s="214">
        <v>0.0</v>
      </c>
      <c r="AP13" s="215">
        <v>0.0</v>
      </c>
      <c r="AQ13" s="216">
        <v>0.0</v>
      </c>
      <c r="AR13" s="216">
        <v>0.0</v>
      </c>
      <c r="AS13" s="217">
        <v>100.0</v>
      </c>
      <c r="AT13" s="217">
        <v>100.0</v>
      </c>
      <c r="AU13" s="216">
        <f t="shared" ref="AU13:AW13" si="12">0.7*AP13</f>
        <v>0</v>
      </c>
      <c r="AV13" s="216">
        <f t="shared" si="12"/>
        <v>0</v>
      </c>
      <c r="AW13" s="216">
        <f t="shared" si="12"/>
        <v>0</v>
      </c>
      <c r="AX13" s="218">
        <v>25.0</v>
      </c>
      <c r="AY13" s="218">
        <v>25.0</v>
      </c>
      <c r="AZ13" s="219">
        <v>0.0</v>
      </c>
      <c r="BA13" s="105" t="s">
        <v>72</v>
      </c>
      <c r="BB13" s="214">
        <v>0.0</v>
      </c>
      <c r="BC13" s="220">
        <v>0.0</v>
      </c>
      <c r="BD13" s="127" t="s">
        <v>141</v>
      </c>
      <c r="BE13" s="103">
        <v>1.0</v>
      </c>
      <c r="BF13" s="221">
        <v>30.0</v>
      </c>
      <c r="BG13" s="105" t="s">
        <v>72</v>
      </c>
      <c r="BH13" s="214">
        <v>0.0</v>
      </c>
      <c r="BI13" s="168" t="s">
        <v>369</v>
      </c>
      <c r="BJ13" s="146"/>
      <c r="BK13" s="222"/>
      <c r="BL13" s="148"/>
      <c r="BM13" s="220">
        <v>21739.0</v>
      </c>
      <c r="BN13" s="222"/>
      <c r="BO13" s="92"/>
      <c r="BP13" s="150"/>
      <c r="BQ13" s="92"/>
      <c r="BR13" s="92"/>
      <c r="BS13" s="92"/>
      <c r="BT13" s="92"/>
      <c r="BU13" s="92"/>
      <c r="BV13" s="147"/>
      <c r="BW13" s="223"/>
      <c r="BX13" s="92"/>
      <c r="BY13" s="92"/>
      <c r="BZ13" s="131"/>
      <c r="CA13" s="81"/>
      <c r="CB13" s="132"/>
      <c r="CC13" s="132"/>
      <c r="CD13" s="152"/>
      <c r="CE13" s="132"/>
      <c r="CF13" s="132"/>
      <c r="CG13" s="152"/>
      <c r="CH13" s="132"/>
      <c r="CI13" s="132"/>
      <c r="CJ13" s="152"/>
      <c r="CK13" s="132"/>
      <c r="CL13" s="153"/>
    </row>
    <row r="14" ht="14.25" customHeight="1">
      <c r="BG14" s="13"/>
      <c r="BH14" s="13"/>
    </row>
    <row r="15" ht="14.25" customHeight="1">
      <c r="A15" s="119" t="s">
        <v>158</v>
      </c>
      <c r="AS15" s="5"/>
      <c r="AT15" s="5"/>
      <c r="BG15" s="13"/>
      <c r="BH15" s="13"/>
    </row>
    <row r="16" ht="14.25" customHeight="1">
      <c r="BG16" s="13"/>
      <c r="BH16" s="13"/>
    </row>
    <row r="17" ht="14.25" customHeight="1">
      <c r="BG17" s="13"/>
      <c r="BH17" s="13"/>
    </row>
    <row r="18" ht="14.25" customHeight="1">
      <c r="BG18" s="13"/>
      <c r="BH18" s="13"/>
    </row>
    <row r="19" ht="14.25" customHeight="1">
      <c r="BG19" s="13"/>
      <c r="BH19" s="13"/>
    </row>
    <row r="20" ht="14.25" customHeight="1">
      <c r="BG20" s="13"/>
      <c r="BH20" s="13"/>
    </row>
    <row r="21" ht="14.25" customHeight="1">
      <c r="BG21" s="13"/>
      <c r="BH21" s="13"/>
    </row>
    <row r="22" ht="14.25" customHeight="1">
      <c r="BG22" s="13"/>
      <c r="BH22" s="13"/>
    </row>
    <row r="23" ht="14.25" customHeight="1">
      <c r="BG23" s="13"/>
      <c r="BH23" s="13"/>
    </row>
    <row r="24" ht="14.25" customHeight="1">
      <c r="BG24" s="13"/>
      <c r="BH24" s="13"/>
    </row>
    <row r="25" ht="14.25" customHeight="1">
      <c r="BG25" s="13"/>
      <c r="BH25" s="13"/>
    </row>
    <row r="26" ht="14.25" customHeight="1">
      <c r="BG26" s="13"/>
      <c r="BH26" s="13"/>
    </row>
    <row r="27" ht="14.25" customHeight="1">
      <c r="BG27" s="13"/>
      <c r="BH27" s="13"/>
    </row>
    <row r="28" ht="14.25" customHeight="1">
      <c r="BG28" s="13"/>
      <c r="BH28" s="13"/>
    </row>
    <row r="29" ht="14.25" customHeight="1">
      <c r="BG29" s="13"/>
      <c r="BH29" s="13"/>
    </row>
    <row r="30" ht="14.25" customHeight="1">
      <c r="BG30" s="13"/>
      <c r="BH30" s="13"/>
    </row>
    <row r="31" ht="14.25" customHeight="1">
      <c r="BG31" s="13"/>
      <c r="BH31" s="13"/>
    </row>
    <row r="32" ht="14.25" customHeight="1">
      <c r="BG32" s="13"/>
      <c r="BH32" s="13"/>
    </row>
    <row r="33" ht="14.25" customHeight="1">
      <c r="BG33" s="13"/>
      <c r="BH33" s="13"/>
    </row>
    <row r="34" ht="14.25" customHeight="1">
      <c r="BG34" s="13"/>
      <c r="BH34" s="13"/>
    </row>
    <row r="35" ht="14.25" customHeight="1">
      <c r="BG35" s="13"/>
      <c r="BH35" s="13"/>
    </row>
    <row r="36" ht="14.25" customHeight="1">
      <c r="BG36" s="13"/>
      <c r="BH36" s="13"/>
    </row>
    <row r="37" ht="14.25" customHeight="1">
      <c r="BG37" s="13"/>
      <c r="BH37" s="13"/>
    </row>
    <row r="38" ht="14.25" customHeight="1">
      <c r="BG38" s="13"/>
      <c r="BH38" s="13"/>
    </row>
    <row r="39" ht="14.25" customHeight="1">
      <c r="BG39" s="13"/>
      <c r="BH39" s="13"/>
    </row>
    <row r="40" ht="14.25" customHeight="1">
      <c r="BG40" s="13"/>
      <c r="BH40" s="13"/>
    </row>
    <row r="41" ht="14.25" customHeight="1">
      <c r="BG41" s="13"/>
      <c r="BH41" s="13"/>
    </row>
    <row r="42" ht="14.25" customHeight="1">
      <c r="BG42" s="13"/>
      <c r="BH42" s="13"/>
    </row>
    <row r="43" ht="14.25" customHeight="1">
      <c r="BG43" s="13"/>
      <c r="BH43" s="13"/>
    </row>
    <row r="44" ht="14.25" customHeight="1">
      <c r="BG44" s="13"/>
      <c r="BH44" s="13"/>
    </row>
    <row r="45" ht="14.25" customHeight="1">
      <c r="BG45" s="13"/>
      <c r="BH45" s="13"/>
    </row>
    <row r="46" ht="14.25" customHeight="1">
      <c r="BG46" s="13"/>
      <c r="BH46" s="13"/>
    </row>
    <row r="47" ht="14.25" customHeight="1">
      <c r="BG47" s="13"/>
      <c r="BH47" s="13"/>
    </row>
    <row r="48" ht="14.25" customHeight="1">
      <c r="BG48" s="13"/>
      <c r="BH48" s="13"/>
    </row>
    <row r="49" ht="14.25" customHeight="1">
      <c r="BG49" s="13"/>
      <c r="BH49" s="13"/>
    </row>
    <row r="50" ht="14.25" customHeight="1">
      <c r="BG50" s="13"/>
      <c r="BH50" s="13"/>
    </row>
    <row r="51" ht="14.25" customHeight="1">
      <c r="BG51" s="13"/>
      <c r="BH51" s="13"/>
    </row>
    <row r="52" ht="14.25" customHeight="1">
      <c r="BG52" s="13"/>
      <c r="BH52" s="13"/>
    </row>
    <row r="53" ht="14.25" customHeight="1">
      <c r="BG53" s="13"/>
      <c r="BH53" s="13"/>
    </row>
    <row r="54" ht="14.25" customHeight="1">
      <c r="BG54" s="13"/>
      <c r="BH54" s="13"/>
    </row>
    <row r="55" ht="14.25" customHeight="1">
      <c r="BG55" s="13"/>
      <c r="BH55" s="13"/>
    </row>
    <row r="56" ht="14.25" customHeight="1">
      <c r="BG56" s="13"/>
      <c r="BH56" s="13"/>
    </row>
    <row r="57" ht="14.25" customHeight="1">
      <c r="BG57" s="13"/>
      <c r="BH57" s="13"/>
    </row>
    <row r="58" ht="14.25" customHeight="1">
      <c r="BG58" s="13"/>
      <c r="BH58" s="13"/>
    </row>
    <row r="59" ht="14.25" customHeight="1">
      <c r="BG59" s="13"/>
      <c r="BH59" s="13"/>
    </row>
    <row r="60" ht="14.25" customHeight="1">
      <c r="BG60" s="13"/>
      <c r="BH60" s="13"/>
    </row>
    <row r="61" ht="14.25" customHeight="1">
      <c r="BG61" s="13"/>
      <c r="BH61" s="13"/>
    </row>
    <row r="62" ht="14.25" customHeight="1">
      <c r="BG62" s="13"/>
      <c r="BH62" s="13"/>
    </row>
    <row r="63" ht="14.25" customHeight="1">
      <c r="BG63" s="13"/>
      <c r="BH63" s="13"/>
    </row>
    <row r="64" ht="14.25" customHeight="1">
      <c r="BG64" s="13"/>
      <c r="BH64" s="13"/>
    </row>
    <row r="65" ht="14.25" customHeight="1">
      <c r="BG65" s="13"/>
      <c r="BH65" s="13"/>
    </row>
    <row r="66" ht="14.25" customHeight="1">
      <c r="BG66" s="13"/>
      <c r="BH66" s="13"/>
    </row>
    <row r="67" ht="14.25" customHeight="1">
      <c r="BG67" s="13"/>
      <c r="BH67" s="13"/>
    </row>
    <row r="68" ht="14.25" customHeight="1">
      <c r="BG68" s="13"/>
      <c r="BH68" s="13"/>
    </row>
    <row r="69" ht="14.25" customHeight="1">
      <c r="BG69" s="13"/>
      <c r="BH69" s="13"/>
    </row>
    <row r="70" ht="14.25" customHeight="1">
      <c r="BG70" s="13"/>
      <c r="BH70" s="13"/>
    </row>
    <row r="71" ht="14.25" customHeight="1">
      <c r="BG71" s="13"/>
      <c r="BH71" s="13"/>
    </row>
    <row r="72" ht="14.25" customHeight="1">
      <c r="BG72" s="13"/>
      <c r="BH72" s="13"/>
    </row>
    <row r="73" ht="14.25" customHeight="1">
      <c r="BG73" s="13"/>
      <c r="BH73" s="13"/>
    </row>
    <row r="74" ht="14.25" customHeight="1">
      <c r="BG74" s="13"/>
      <c r="BH74" s="13"/>
    </row>
    <row r="75" ht="14.25" customHeight="1">
      <c r="BG75" s="13"/>
      <c r="BH75" s="13"/>
    </row>
    <row r="76" ht="14.25" customHeight="1">
      <c r="BG76" s="13"/>
      <c r="BH76" s="13"/>
    </row>
    <row r="77" ht="14.25" customHeight="1">
      <c r="BG77" s="13"/>
      <c r="BH77" s="13"/>
    </row>
    <row r="78" ht="14.25" customHeight="1">
      <c r="BG78" s="13"/>
      <c r="BH78" s="13"/>
    </row>
    <row r="79" ht="14.25" customHeight="1">
      <c r="BG79" s="13"/>
      <c r="BH79" s="13"/>
    </row>
    <row r="80" ht="14.25" customHeight="1">
      <c r="BG80" s="13"/>
      <c r="BH80" s="13"/>
    </row>
    <row r="81" ht="14.25" customHeight="1">
      <c r="BG81" s="13"/>
      <c r="BH81" s="13"/>
    </row>
    <row r="82" ht="14.25" customHeight="1">
      <c r="BG82" s="13"/>
      <c r="BH82" s="13"/>
    </row>
    <row r="83" ht="14.25" customHeight="1">
      <c r="BG83" s="13"/>
      <c r="BH83" s="13"/>
    </row>
    <row r="84" ht="14.25" customHeight="1">
      <c r="BG84" s="13"/>
      <c r="BH84" s="13"/>
    </row>
    <row r="85" ht="14.25" customHeight="1">
      <c r="BG85" s="13"/>
      <c r="BH85" s="13"/>
    </row>
    <row r="86" ht="14.25" customHeight="1">
      <c r="BG86" s="13"/>
      <c r="BH86" s="13"/>
    </row>
    <row r="87" ht="14.25" customHeight="1">
      <c r="BG87" s="13"/>
      <c r="BH87" s="13"/>
    </row>
    <row r="88" ht="14.25" customHeight="1">
      <c r="BG88" s="13"/>
      <c r="BH88" s="13"/>
    </row>
    <row r="89" ht="14.25" customHeight="1">
      <c r="BG89" s="13"/>
      <c r="BH89" s="13"/>
    </row>
    <row r="90" ht="14.25" customHeight="1">
      <c r="BG90" s="13"/>
      <c r="BH90" s="13"/>
    </row>
    <row r="91" ht="14.25" customHeight="1">
      <c r="BG91" s="13"/>
      <c r="BH91" s="13"/>
    </row>
    <row r="92" ht="14.25" customHeight="1">
      <c r="BG92" s="13"/>
      <c r="BH92" s="13"/>
    </row>
    <row r="93" ht="14.25" customHeight="1">
      <c r="BG93" s="13"/>
      <c r="BH93" s="13"/>
    </row>
    <row r="94" ht="14.25" customHeight="1">
      <c r="BG94" s="13"/>
      <c r="BH94" s="13"/>
    </row>
    <row r="95" ht="14.25" customHeight="1">
      <c r="BG95" s="13"/>
      <c r="BH95" s="13"/>
    </row>
    <row r="96" ht="14.25" customHeight="1">
      <c r="BG96" s="13"/>
      <c r="BH96" s="13"/>
    </row>
    <row r="97" ht="14.25" customHeight="1">
      <c r="BG97" s="13"/>
      <c r="BH97" s="13"/>
    </row>
    <row r="98" ht="14.25" customHeight="1">
      <c r="BG98" s="13"/>
      <c r="BH98" s="13"/>
    </row>
    <row r="99" ht="14.25" customHeight="1">
      <c r="BG99" s="13"/>
      <c r="BH99" s="13"/>
    </row>
    <row r="100" ht="14.25" customHeight="1">
      <c r="BG100" s="13"/>
      <c r="BH100" s="13"/>
    </row>
    <row r="101" ht="14.25" customHeight="1">
      <c r="BG101" s="13"/>
      <c r="BH101" s="13"/>
    </row>
    <row r="102" ht="14.25" customHeight="1">
      <c r="BG102" s="13"/>
      <c r="BH102" s="13"/>
    </row>
    <row r="103" ht="14.25" customHeight="1">
      <c r="BG103" s="13"/>
      <c r="BH103" s="13"/>
    </row>
    <row r="104" ht="14.25" customHeight="1">
      <c r="BG104" s="13"/>
      <c r="BH104" s="13"/>
    </row>
    <row r="105" ht="14.25" customHeight="1">
      <c r="BG105" s="13"/>
      <c r="BH105" s="13"/>
    </row>
    <row r="106" ht="14.25" customHeight="1">
      <c r="BG106" s="13"/>
      <c r="BH106" s="13"/>
    </row>
    <row r="107" ht="14.25" customHeight="1">
      <c r="BG107" s="13"/>
      <c r="BH107" s="13"/>
    </row>
    <row r="108" ht="14.25" customHeight="1">
      <c r="BG108" s="13"/>
      <c r="BH108" s="13"/>
    </row>
    <row r="109" ht="14.25" customHeight="1">
      <c r="BG109" s="13"/>
      <c r="BH109" s="13"/>
    </row>
    <row r="110" ht="14.25" customHeight="1">
      <c r="BG110" s="13"/>
      <c r="BH110" s="13"/>
    </row>
    <row r="111" ht="14.25" customHeight="1">
      <c r="BG111" s="13"/>
      <c r="BH111" s="13"/>
    </row>
    <row r="112" ht="14.25" customHeight="1">
      <c r="BG112" s="13"/>
      <c r="BH112" s="13"/>
    </row>
    <row r="113" ht="14.25" customHeight="1">
      <c r="BG113" s="13"/>
      <c r="BH113" s="13"/>
    </row>
    <row r="114" ht="14.25" customHeight="1">
      <c r="BG114" s="13"/>
      <c r="BH114" s="13"/>
    </row>
    <row r="115" ht="14.25" customHeight="1">
      <c r="BG115" s="13"/>
      <c r="BH115" s="13"/>
    </row>
    <row r="116" ht="14.25" customHeight="1">
      <c r="BG116" s="13"/>
      <c r="BH116" s="13"/>
    </row>
    <row r="117" ht="14.25" customHeight="1">
      <c r="BG117" s="13"/>
      <c r="BH117" s="13"/>
    </row>
    <row r="118" ht="14.25" customHeight="1">
      <c r="BG118" s="13"/>
      <c r="BH118" s="13"/>
    </row>
    <row r="119" ht="14.25" customHeight="1">
      <c r="BG119" s="13"/>
      <c r="BH119" s="13"/>
    </row>
    <row r="120" ht="14.25" customHeight="1">
      <c r="BG120" s="13"/>
      <c r="BH120" s="13"/>
    </row>
    <row r="121" ht="14.25" customHeight="1">
      <c r="BG121" s="13"/>
      <c r="BH121" s="13"/>
    </row>
    <row r="122" ht="14.25" customHeight="1">
      <c r="BG122" s="13"/>
      <c r="BH122" s="13"/>
    </row>
    <row r="123" ht="14.25" customHeight="1">
      <c r="BG123" s="13"/>
      <c r="BH123" s="13"/>
    </row>
    <row r="124" ht="14.25" customHeight="1">
      <c r="BG124" s="13"/>
      <c r="BH124" s="13"/>
    </row>
    <row r="125" ht="14.25" customHeight="1">
      <c r="BG125" s="13"/>
      <c r="BH125" s="13"/>
    </row>
    <row r="126" ht="14.25" customHeight="1">
      <c r="BG126" s="13"/>
      <c r="BH126" s="13"/>
    </row>
    <row r="127" ht="14.25" customHeight="1">
      <c r="BG127" s="13"/>
      <c r="BH127" s="13"/>
    </row>
    <row r="128" ht="14.25" customHeight="1">
      <c r="BG128" s="13"/>
      <c r="BH128" s="13"/>
    </row>
    <row r="129" ht="14.25" customHeight="1">
      <c r="BG129" s="13"/>
      <c r="BH129" s="13"/>
    </row>
    <row r="130" ht="14.25" customHeight="1">
      <c r="BG130" s="13"/>
      <c r="BH130" s="13"/>
    </row>
    <row r="131" ht="14.25" customHeight="1">
      <c r="BG131" s="13"/>
      <c r="BH131" s="13"/>
    </row>
    <row r="132" ht="14.25" customHeight="1">
      <c r="BG132" s="13"/>
      <c r="BH132" s="13"/>
    </row>
    <row r="133" ht="14.25" customHeight="1">
      <c r="BG133" s="13"/>
      <c r="BH133" s="13"/>
    </row>
    <row r="134" ht="14.25" customHeight="1">
      <c r="BG134" s="13"/>
      <c r="BH134" s="13"/>
    </row>
    <row r="135" ht="14.25" customHeight="1">
      <c r="BG135" s="13"/>
      <c r="BH135" s="13"/>
    </row>
    <row r="136" ht="14.25" customHeight="1">
      <c r="BG136" s="13"/>
      <c r="BH136" s="13"/>
    </row>
    <row r="137" ht="14.25" customHeight="1">
      <c r="BG137" s="13"/>
      <c r="BH137" s="13"/>
    </row>
    <row r="138" ht="14.25" customHeight="1">
      <c r="BG138" s="13"/>
      <c r="BH138" s="13"/>
    </row>
    <row r="139" ht="14.25" customHeight="1">
      <c r="BG139" s="13"/>
      <c r="BH139" s="13"/>
    </row>
    <row r="140" ht="14.25" customHeight="1">
      <c r="BG140" s="13"/>
      <c r="BH140" s="13"/>
    </row>
    <row r="141" ht="14.25" customHeight="1">
      <c r="BG141" s="13"/>
      <c r="BH141" s="13"/>
    </row>
    <row r="142" ht="14.25" customHeight="1">
      <c r="BG142" s="13"/>
      <c r="BH142" s="13"/>
    </row>
    <row r="143" ht="14.25" customHeight="1">
      <c r="BG143" s="13"/>
      <c r="BH143" s="13"/>
    </row>
    <row r="144" ht="14.25" customHeight="1">
      <c r="BG144" s="13"/>
      <c r="BH144" s="13"/>
    </row>
    <row r="145" ht="14.25" customHeight="1">
      <c r="BG145" s="13"/>
      <c r="BH145" s="13"/>
    </row>
    <row r="146" ht="14.25" customHeight="1">
      <c r="BG146" s="13"/>
      <c r="BH146" s="13"/>
    </row>
    <row r="147" ht="14.25" customHeight="1">
      <c r="BG147" s="13"/>
      <c r="BH147" s="13"/>
    </row>
    <row r="148" ht="14.25" customHeight="1">
      <c r="BG148" s="13"/>
      <c r="BH148" s="13"/>
    </row>
    <row r="149" ht="14.25" customHeight="1">
      <c r="BG149" s="13"/>
      <c r="BH149" s="13"/>
    </row>
    <row r="150" ht="14.25" customHeight="1">
      <c r="BG150" s="13"/>
      <c r="BH150" s="13"/>
    </row>
    <row r="151" ht="14.25" customHeight="1">
      <c r="BG151" s="13"/>
      <c r="BH151" s="13"/>
    </row>
    <row r="152" ht="14.25" customHeight="1">
      <c r="BG152" s="13"/>
      <c r="BH152" s="13"/>
    </row>
    <row r="153" ht="14.25" customHeight="1">
      <c r="BG153" s="13"/>
      <c r="BH153" s="13"/>
    </row>
    <row r="154" ht="14.25" customHeight="1">
      <c r="BG154" s="13"/>
      <c r="BH154" s="13"/>
    </row>
    <row r="155" ht="14.25" customHeight="1">
      <c r="BG155" s="13"/>
      <c r="BH155" s="13"/>
    </row>
    <row r="156" ht="14.25" customHeight="1">
      <c r="BG156" s="13"/>
      <c r="BH156" s="13"/>
    </row>
    <row r="157" ht="14.25" customHeight="1">
      <c r="BG157" s="13"/>
      <c r="BH157" s="13"/>
    </row>
    <row r="158" ht="14.25" customHeight="1">
      <c r="BG158" s="13"/>
      <c r="BH158" s="13"/>
    </row>
    <row r="159" ht="14.25" customHeight="1">
      <c r="BG159" s="13"/>
      <c r="BH159" s="13"/>
    </row>
    <row r="160" ht="14.25" customHeight="1">
      <c r="BG160" s="13"/>
      <c r="BH160" s="13"/>
    </row>
    <row r="161" ht="14.25" customHeight="1">
      <c r="BG161" s="13"/>
      <c r="BH161" s="13"/>
    </row>
    <row r="162" ht="14.25" customHeight="1">
      <c r="BG162" s="13"/>
      <c r="BH162" s="13"/>
    </row>
    <row r="163" ht="14.25" customHeight="1">
      <c r="BG163" s="13"/>
      <c r="BH163" s="13"/>
    </row>
    <row r="164" ht="14.25" customHeight="1">
      <c r="BG164" s="13"/>
      <c r="BH164" s="13"/>
    </row>
    <row r="165" ht="14.25" customHeight="1">
      <c r="BG165" s="13"/>
      <c r="BH165" s="13"/>
    </row>
    <row r="166" ht="14.25" customHeight="1">
      <c r="BG166" s="13"/>
      <c r="BH166" s="13"/>
    </row>
    <row r="167" ht="14.25" customHeight="1">
      <c r="BG167" s="13"/>
      <c r="BH167" s="13"/>
    </row>
    <row r="168" ht="14.25" customHeight="1">
      <c r="BG168" s="13"/>
      <c r="BH168" s="13"/>
    </row>
    <row r="169" ht="14.25" customHeight="1">
      <c r="BG169" s="13"/>
      <c r="BH169" s="13"/>
    </row>
    <row r="170" ht="14.25" customHeight="1">
      <c r="BG170" s="13"/>
      <c r="BH170" s="13"/>
    </row>
    <row r="171" ht="14.25" customHeight="1">
      <c r="BG171" s="13"/>
      <c r="BH171" s="13"/>
    </row>
    <row r="172" ht="14.25" customHeight="1">
      <c r="BG172" s="13"/>
      <c r="BH172" s="13"/>
    </row>
    <row r="173" ht="14.25" customHeight="1">
      <c r="BG173" s="13"/>
      <c r="BH173" s="13"/>
    </row>
    <row r="174" ht="14.25" customHeight="1">
      <c r="BG174" s="13"/>
      <c r="BH174" s="13"/>
    </row>
    <row r="175" ht="14.25" customHeight="1">
      <c r="BG175" s="13"/>
      <c r="BH175" s="13"/>
    </row>
    <row r="176" ht="14.25" customHeight="1">
      <c r="BG176" s="13"/>
      <c r="BH176" s="13"/>
    </row>
    <row r="177" ht="14.25" customHeight="1">
      <c r="BG177" s="13"/>
      <c r="BH177" s="13"/>
    </row>
    <row r="178" ht="14.25" customHeight="1">
      <c r="BG178" s="13"/>
      <c r="BH178" s="13"/>
    </row>
    <row r="179" ht="14.25" customHeight="1">
      <c r="BG179" s="13"/>
      <c r="BH179" s="13"/>
    </row>
    <row r="180" ht="14.25" customHeight="1">
      <c r="BG180" s="13"/>
      <c r="BH180" s="13"/>
    </row>
    <row r="181" ht="14.25" customHeight="1">
      <c r="BG181" s="13"/>
      <c r="BH181" s="13"/>
    </row>
    <row r="182" ht="14.25" customHeight="1">
      <c r="BG182" s="13"/>
      <c r="BH182" s="13"/>
    </row>
    <row r="183" ht="14.25" customHeight="1">
      <c r="BG183" s="13"/>
      <c r="BH183" s="13"/>
    </row>
    <row r="184" ht="14.25" customHeight="1">
      <c r="BG184" s="13"/>
      <c r="BH184" s="13"/>
    </row>
    <row r="185" ht="14.25" customHeight="1">
      <c r="BG185" s="13"/>
      <c r="BH185" s="13"/>
    </row>
    <row r="186" ht="14.25" customHeight="1">
      <c r="BG186" s="13"/>
      <c r="BH186" s="13"/>
    </row>
    <row r="187" ht="14.25" customHeight="1">
      <c r="BG187" s="13"/>
      <c r="BH187" s="13"/>
    </row>
    <row r="188" ht="14.25" customHeight="1">
      <c r="BG188" s="13"/>
      <c r="BH188" s="13"/>
    </row>
    <row r="189" ht="14.25" customHeight="1">
      <c r="BG189" s="13"/>
      <c r="BH189" s="13"/>
    </row>
    <row r="190" ht="14.25" customHeight="1">
      <c r="BG190" s="13"/>
      <c r="BH190" s="13"/>
    </row>
    <row r="191" ht="14.25" customHeight="1">
      <c r="BG191" s="13"/>
      <c r="BH191" s="13"/>
    </row>
    <row r="192" ht="14.25" customHeight="1">
      <c r="BG192" s="13"/>
      <c r="BH192" s="13"/>
    </row>
    <row r="193" ht="14.25" customHeight="1">
      <c r="BG193" s="13"/>
      <c r="BH193" s="13"/>
    </row>
    <row r="194" ht="14.25" customHeight="1">
      <c r="BG194" s="13"/>
      <c r="BH194" s="13"/>
    </row>
    <row r="195" ht="14.25" customHeight="1">
      <c r="BG195" s="13"/>
      <c r="BH195" s="13"/>
    </row>
    <row r="196" ht="14.25" customHeight="1">
      <c r="BG196" s="13"/>
      <c r="BH196" s="13"/>
    </row>
    <row r="197" ht="14.25" customHeight="1">
      <c r="BG197" s="13"/>
      <c r="BH197" s="13"/>
    </row>
    <row r="198" ht="14.25" customHeight="1">
      <c r="BG198" s="13"/>
      <c r="BH198" s="13"/>
    </row>
    <row r="199" ht="14.25" customHeight="1">
      <c r="BG199" s="13"/>
      <c r="BH199" s="13"/>
    </row>
    <row r="200" ht="14.25" customHeight="1">
      <c r="BG200" s="13"/>
      <c r="BH200" s="13"/>
    </row>
    <row r="201" ht="14.25" customHeight="1">
      <c r="BG201" s="13"/>
      <c r="BH201" s="13"/>
    </row>
    <row r="202" ht="14.25" customHeight="1">
      <c r="BG202" s="13"/>
      <c r="BH202" s="13"/>
    </row>
    <row r="203" ht="14.25" customHeight="1">
      <c r="BG203" s="13"/>
      <c r="BH203" s="13"/>
    </row>
    <row r="204" ht="14.25" customHeight="1">
      <c r="BG204" s="13"/>
      <c r="BH204" s="13"/>
    </row>
    <row r="205" ht="14.25" customHeight="1">
      <c r="BG205" s="13"/>
      <c r="BH205" s="13"/>
    </row>
    <row r="206" ht="14.25" customHeight="1">
      <c r="BG206" s="13"/>
      <c r="BH206" s="13"/>
    </row>
    <row r="207" ht="14.25" customHeight="1">
      <c r="BG207" s="13"/>
      <c r="BH207" s="13"/>
    </row>
    <row r="208" ht="14.25" customHeight="1">
      <c r="BG208" s="13"/>
      <c r="BH208" s="13"/>
    </row>
    <row r="209" ht="14.25" customHeight="1">
      <c r="BG209" s="13"/>
      <c r="BH209" s="13"/>
    </row>
    <row r="210" ht="14.25" customHeight="1">
      <c r="BG210" s="13"/>
      <c r="BH210" s="13"/>
    </row>
    <row r="211" ht="14.25" customHeight="1">
      <c r="BG211" s="13"/>
      <c r="BH211" s="13"/>
    </row>
    <row r="212" ht="14.25" customHeight="1">
      <c r="BG212" s="13"/>
      <c r="BH212" s="13"/>
    </row>
    <row r="213" ht="14.25" customHeight="1">
      <c r="BG213" s="13"/>
      <c r="BH213" s="13"/>
    </row>
    <row r="214" ht="14.25" customHeight="1">
      <c r="BG214" s="13"/>
      <c r="BH214" s="13"/>
    </row>
    <row r="215" ht="14.25" customHeight="1">
      <c r="BG215" s="13"/>
      <c r="BH215" s="13"/>
    </row>
    <row r="216" ht="14.25" customHeight="1">
      <c r="BG216" s="13"/>
      <c r="BH216" s="13"/>
    </row>
    <row r="217" ht="14.25" customHeight="1">
      <c r="BG217" s="13"/>
      <c r="BH217" s="13"/>
    </row>
    <row r="218" ht="14.25" customHeight="1">
      <c r="BG218" s="13"/>
      <c r="BH218" s="13"/>
    </row>
    <row r="219" ht="14.25" customHeight="1">
      <c r="BG219" s="13"/>
      <c r="BH219" s="13"/>
    </row>
    <row r="220" ht="14.25" customHeight="1">
      <c r="BG220" s="13"/>
      <c r="BH220" s="13"/>
    </row>
    <row r="221" ht="14.25" customHeight="1">
      <c r="BG221" s="13"/>
      <c r="BH221" s="13"/>
    </row>
    <row r="222" ht="14.25" customHeight="1">
      <c r="BG222" s="13"/>
      <c r="BH222" s="13"/>
    </row>
    <row r="223" ht="14.25" customHeight="1">
      <c r="BG223" s="13"/>
      <c r="BH223" s="13"/>
    </row>
    <row r="224" ht="14.25" customHeight="1">
      <c r="BG224" s="13"/>
      <c r="BH224" s="13"/>
    </row>
    <row r="225" ht="14.25" customHeight="1">
      <c r="BG225" s="13"/>
      <c r="BH225" s="13"/>
    </row>
    <row r="226" ht="14.25" customHeight="1">
      <c r="BG226" s="13"/>
      <c r="BH226" s="13"/>
    </row>
    <row r="227" ht="14.25" customHeight="1">
      <c r="BG227" s="13"/>
      <c r="BH227" s="13"/>
    </row>
    <row r="228" ht="14.25" customHeight="1">
      <c r="BG228" s="13"/>
      <c r="BH228" s="13"/>
    </row>
    <row r="229" ht="14.25" customHeight="1">
      <c r="BG229" s="13"/>
      <c r="BH229" s="13"/>
    </row>
    <row r="230" ht="14.25" customHeight="1">
      <c r="BG230" s="13"/>
      <c r="BH230" s="13"/>
    </row>
    <row r="231" ht="14.25" customHeight="1">
      <c r="BG231" s="13"/>
      <c r="BH231" s="13"/>
    </row>
    <row r="232" ht="14.25" customHeight="1">
      <c r="BG232" s="13"/>
      <c r="BH232" s="13"/>
    </row>
    <row r="233" ht="14.25" customHeight="1">
      <c r="BG233" s="13"/>
      <c r="BH233" s="13"/>
    </row>
    <row r="234" ht="14.25" customHeight="1">
      <c r="BG234" s="13"/>
      <c r="BH234" s="13"/>
    </row>
    <row r="235" ht="14.25" customHeight="1">
      <c r="BG235" s="13"/>
      <c r="BH235" s="13"/>
    </row>
    <row r="236" ht="14.25" customHeight="1">
      <c r="BG236" s="13"/>
      <c r="BH236" s="13"/>
    </row>
    <row r="237" ht="14.25" customHeight="1">
      <c r="BG237" s="13"/>
      <c r="BH237" s="13"/>
    </row>
    <row r="238" ht="14.25" customHeight="1">
      <c r="BG238" s="13"/>
      <c r="BH238" s="13"/>
    </row>
    <row r="239" ht="14.25" customHeight="1">
      <c r="BG239" s="13"/>
      <c r="BH239" s="13"/>
    </row>
    <row r="240" ht="14.25" customHeight="1">
      <c r="BG240" s="13"/>
      <c r="BH240" s="13"/>
    </row>
    <row r="241" ht="14.25" customHeight="1">
      <c r="BG241" s="13"/>
      <c r="BH241" s="13"/>
    </row>
    <row r="242" ht="14.25" customHeight="1">
      <c r="BG242" s="13"/>
      <c r="BH242" s="13"/>
    </row>
    <row r="243" ht="14.25" customHeight="1">
      <c r="BG243" s="13"/>
      <c r="BH243" s="13"/>
    </row>
    <row r="244" ht="14.25" customHeight="1">
      <c r="BG244" s="13"/>
      <c r="BH244" s="13"/>
    </row>
    <row r="245" ht="14.25" customHeight="1">
      <c r="BG245" s="13"/>
      <c r="BH245" s="13"/>
    </row>
    <row r="246" ht="14.25" customHeight="1">
      <c r="BG246" s="13"/>
      <c r="BH246" s="13"/>
    </row>
    <row r="247" ht="14.25" customHeight="1">
      <c r="BG247" s="13"/>
      <c r="BH247" s="13"/>
    </row>
    <row r="248" ht="14.25" customHeight="1">
      <c r="BG248" s="13"/>
      <c r="BH248" s="13"/>
    </row>
    <row r="249" ht="14.25" customHeight="1">
      <c r="BG249" s="13"/>
      <c r="BH249" s="13"/>
    </row>
    <row r="250" ht="14.25" customHeight="1">
      <c r="BG250" s="13"/>
      <c r="BH250" s="13"/>
    </row>
    <row r="251" ht="14.25" customHeight="1">
      <c r="BG251" s="13"/>
      <c r="BH251" s="13"/>
    </row>
    <row r="252" ht="14.25" customHeight="1">
      <c r="BG252" s="13"/>
      <c r="BH252" s="13"/>
    </row>
    <row r="253" ht="14.25" customHeight="1">
      <c r="BG253" s="13"/>
      <c r="BH253" s="13"/>
    </row>
    <row r="254" ht="14.25" customHeight="1">
      <c r="BG254" s="13"/>
      <c r="BH254" s="13"/>
    </row>
    <row r="255" ht="14.25" customHeight="1">
      <c r="BG255" s="13"/>
      <c r="BH255" s="13"/>
    </row>
    <row r="256" ht="14.25" customHeight="1">
      <c r="BG256" s="13"/>
      <c r="BH256" s="13"/>
    </row>
    <row r="257" ht="14.25" customHeight="1">
      <c r="BG257" s="13"/>
      <c r="BH257" s="13"/>
    </row>
    <row r="258" ht="14.25" customHeight="1">
      <c r="BG258" s="13"/>
      <c r="BH258" s="13"/>
    </row>
    <row r="259" ht="14.25" customHeight="1">
      <c r="BG259" s="13"/>
      <c r="BH259" s="13"/>
    </row>
    <row r="260" ht="14.25" customHeight="1">
      <c r="BG260" s="13"/>
      <c r="BH260" s="13"/>
    </row>
    <row r="261" ht="14.25" customHeight="1">
      <c r="BG261" s="13"/>
      <c r="BH261" s="13"/>
    </row>
    <row r="262" ht="14.25" customHeight="1">
      <c r="BG262" s="13"/>
      <c r="BH262" s="13"/>
    </row>
    <row r="263" ht="14.25" customHeight="1">
      <c r="BG263" s="13"/>
      <c r="BH263" s="13"/>
    </row>
    <row r="264" ht="14.25" customHeight="1">
      <c r="BG264" s="13"/>
      <c r="BH264" s="13"/>
    </row>
    <row r="265" ht="14.25" customHeight="1">
      <c r="BG265" s="13"/>
      <c r="BH265" s="13"/>
    </row>
    <row r="266" ht="14.25" customHeight="1">
      <c r="BG266" s="13"/>
      <c r="BH266" s="13"/>
    </row>
    <row r="267" ht="14.25" customHeight="1">
      <c r="BG267" s="13"/>
      <c r="BH267" s="13"/>
    </row>
    <row r="268" ht="14.25" customHeight="1">
      <c r="BG268" s="13"/>
      <c r="BH268" s="13"/>
    </row>
    <row r="269" ht="14.25" customHeight="1">
      <c r="BG269" s="13"/>
      <c r="BH269" s="13"/>
    </row>
    <row r="270" ht="14.25" customHeight="1">
      <c r="BG270" s="13"/>
      <c r="BH270" s="13"/>
    </row>
    <row r="271" ht="14.25" customHeight="1">
      <c r="BG271" s="13"/>
      <c r="BH271" s="13"/>
    </row>
    <row r="272" ht="14.25" customHeight="1">
      <c r="BG272" s="13"/>
      <c r="BH272" s="13"/>
    </row>
    <row r="273" ht="14.25" customHeight="1">
      <c r="BG273" s="13"/>
      <c r="BH273" s="13"/>
    </row>
    <row r="274" ht="14.25" customHeight="1">
      <c r="BG274" s="13"/>
      <c r="BH274" s="13"/>
    </row>
    <row r="275" ht="14.25" customHeight="1">
      <c r="BG275" s="13"/>
      <c r="BH275" s="13"/>
    </row>
    <row r="276" ht="14.25" customHeight="1">
      <c r="BG276" s="13"/>
      <c r="BH276" s="13"/>
    </row>
    <row r="277" ht="14.25" customHeight="1">
      <c r="BG277" s="13"/>
      <c r="BH277" s="13"/>
    </row>
    <row r="278" ht="14.25" customHeight="1">
      <c r="BG278" s="13"/>
      <c r="BH278" s="13"/>
    </row>
    <row r="279" ht="14.25" customHeight="1">
      <c r="BG279" s="13"/>
      <c r="BH279" s="13"/>
    </row>
    <row r="280" ht="14.25" customHeight="1">
      <c r="BG280" s="13"/>
      <c r="BH280" s="13"/>
    </row>
    <row r="281" ht="14.25" customHeight="1">
      <c r="BG281" s="13"/>
      <c r="BH281" s="13"/>
    </row>
    <row r="282" ht="14.25" customHeight="1">
      <c r="BG282" s="13"/>
      <c r="BH282" s="13"/>
    </row>
    <row r="283" ht="14.25" customHeight="1">
      <c r="BG283" s="13"/>
      <c r="BH283" s="13"/>
    </row>
    <row r="284" ht="14.25" customHeight="1">
      <c r="BG284" s="13"/>
      <c r="BH284" s="13"/>
    </row>
    <row r="285" ht="14.25" customHeight="1">
      <c r="BG285" s="13"/>
      <c r="BH285" s="13"/>
    </row>
    <row r="286" ht="14.25" customHeight="1">
      <c r="BG286" s="13"/>
      <c r="BH286" s="13"/>
    </row>
    <row r="287" ht="14.25" customHeight="1">
      <c r="BG287" s="13"/>
      <c r="BH287" s="13"/>
    </row>
    <row r="288" ht="14.25" customHeight="1">
      <c r="BG288" s="13"/>
      <c r="BH288" s="13"/>
    </row>
    <row r="289" ht="14.25" customHeight="1">
      <c r="BG289" s="13"/>
      <c r="BH289" s="13"/>
    </row>
    <row r="290" ht="14.25" customHeight="1">
      <c r="BG290" s="13"/>
      <c r="BH290" s="13"/>
    </row>
    <row r="291" ht="14.25" customHeight="1">
      <c r="BG291" s="13"/>
      <c r="BH291" s="13"/>
    </row>
    <row r="292" ht="14.25" customHeight="1">
      <c r="BG292" s="13"/>
      <c r="BH292" s="13"/>
    </row>
    <row r="293" ht="14.25" customHeight="1">
      <c r="BG293" s="13"/>
      <c r="BH293" s="13"/>
    </row>
    <row r="294" ht="14.25" customHeight="1">
      <c r="BG294" s="13"/>
      <c r="BH294" s="13"/>
    </row>
    <row r="295" ht="14.25" customHeight="1">
      <c r="BG295" s="13"/>
      <c r="BH295" s="13"/>
    </row>
    <row r="296" ht="14.25" customHeight="1">
      <c r="BG296" s="13"/>
      <c r="BH296" s="13"/>
    </row>
    <row r="297" ht="14.25" customHeight="1">
      <c r="BG297" s="13"/>
      <c r="BH297" s="13"/>
    </row>
    <row r="298" ht="14.25" customHeight="1">
      <c r="BG298" s="13"/>
      <c r="BH298" s="13"/>
    </row>
    <row r="299" ht="14.25" customHeight="1">
      <c r="BG299" s="13"/>
      <c r="BH299" s="13"/>
    </row>
    <row r="300" ht="14.25" customHeight="1">
      <c r="BG300" s="13"/>
      <c r="BH300" s="13"/>
    </row>
    <row r="301" ht="14.25" customHeight="1">
      <c r="BG301" s="13"/>
      <c r="BH301" s="13"/>
    </row>
    <row r="302" ht="14.25" customHeight="1">
      <c r="BG302" s="13"/>
      <c r="BH302" s="13"/>
    </row>
    <row r="303" ht="14.25" customHeight="1">
      <c r="BG303" s="13"/>
      <c r="BH303" s="13"/>
    </row>
    <row r="304" ht="14.25" customHeight="1">
      <c r="BG304" s="13"/>
      <c r="BH304" s="13"/>
    </row>
    <row r="305" ht="14.25" customHeight="1">
      <c r="BG305" s="13"/>
      <c r="BH305" s="13"/>
    </row>
    <row r="306" ht="14.25" customHeight="1">
      <c r="BG306" s="13"/>
      <c r="BH306" s="13"/>
    </row>
    <row r="307" ht="14.25" customHeight="1">
      <c r="BG307" s="13"/>
      <c r="BH307" s="13"/>
    </row>
    <row r="308" ht="14.25" customHeight="1">
      <c r="BG308" s="13"/>
      <c r="BH308" s="13"/>
    </row>
    <row r="309" ht="14.25" customHeight="1">
      <c r="BG309" s="13"/>
      <c r="BH309" s="13"/>
    </row>
    <row r="310" ht="14.25" customHeight="1">
      <c r="BG310" s="13"/>
      <c r="BH310" s="13"/>
    </row>
    <row r="311" ht="14.25" customHeight="1">
      <c r="BG311" s="13"/>
      <c r="BH311" s="13"/>
    </row>
    <row r="312" ht="14.25" customHeight="1">
      <c r="BG312" s="13"/>
      <c r="BH312" s="13"/>
    </row>
    <row r="313" ht="14.25" customHeight="1">
      <c r="BG313" s="13"/>
      <c r="BH313" s="13"/>
    </row>
    <row r="314" ht="14.25" customHeight="1">
      <c r="BG314" s="13"/>
      <c r="BH314" s="13"/>
    </row>
    <row r="315" ht="14.25" customHeight="1">
      <c r="BG315" s="13"/>
      <c r="BH315" s="13"/>
    </row>
    <row r="316" ht="14.25" customHeight="1">
      <c r="BG316" s="13"/>
      <c r="BH316" s="13"/>
    </row>
    <row r="317" ht="14.25" customHeight="1">
      <c r="BG317" s="13"/>
      <c r="BH317" s="13"/>
    </row>
    <row r="318" ht="14.25" customHeight="1">
      <c r="BG318" s="13"/>
      <c r="BH318" s="13"/>
    </row>
    <row r="319" ht="14.25" customHeight="1">
      <c r="BG319" s="13"/>
      <c r="BH319" s="13"/>
    </row>
    <row r="320" ht="14.25" customHeight="1">
      <c r="BG320" s="13"/>
      <c r="BH320" s="13"/>
    </row>
    <row r="321" ht="14.25" customHeight="1">
      <c r="BG321" s="13"/>
      <c r="BH321" s="13"/>
    </row>
    <row r="322" ht="14.25" customHeight="1">
      <c r="BG322" s="13"/>
      <c r="BH322" s="13"/>
    </row>
    <row r="323" ht="14.25" customHeight="1">
      <c r="BG323" s="13"/>
      <c r="BH323" s="13"/>
    </row>
    <row r="324" ht="14.25" customHeight="1">
      <c r="BG324" s="13"/>
      <c r="BH324" s="13"/>
    </row>
    <row r="325" ht="14.25" customHeight="1">
      <c r="BG325" s="13"/>
      <c r="BH325" s="13"/>
    </row>
    <row r="326" ht="14.25" customHeight="1">
      <c r="BG326" s="13"/>
      <c r="BH326" s="13"/>
    </row>
    <row r="327" ht="14.25" customHeight="1">
      <c r="BG327" s="13"/>
      <c r="BH327" s="13"/>
    </row>
    <row r="328" ht="14.25" customHeight="1">
      <c r="BG328" s="13"/>
      <c r="BH328" s="13"/>
    </row>
    <row r="329" ht="14.25" customHeight="1">
      <c r="BG329" s="13"/>
      <c r="BH329" s="13"/>
    </row>
    <row r="330" ht="14.25" customHeight="1">
      <c r="BG330" s="13"/>
      <c r="BH330" s="13"/>
    </row>
    <row r="331" ht="14.25" customHeight="1">
      <c r="BG331" s="13"/>
      <c r="BH331" s="13"/>
    </row>
    <row r="332" ht="14.25" customHeight="1">
      <c r="BG332" s="13"/>
      <c r="BH332" s="13"/>
    </row>
    <row r="333" ht="14.25" customHeight="1">
      <c r="BG333" s="13"/>
      <c r="BH333" s="13"/>
    </row>
    <row r="334" ht="14.25" customHeight="1">
      <c r="BG334" s="13"/>
      <c r="BH334" s="13"/>
    </row>
    <row r="335" ht="14.25" customHeight="1">
      <c r="BG335" s="13"/>
      <c r="BH335" s="13"/>
    </row>
    <row r="336" ht="14.25" customHeight="1">
      <c r="BG336" s="13"/>
      <c r="BH336" s="13"/>
    </row>
    <row r="337" ht="14.25" customHeight="1">
      <c r="BG337" s="13"/>
      <c r="BH337" s="13"/>
    </row>
    <row r="338" ht="14.25" customHeight="1">
      <c r="BG338" s="13"/>
      <c r="BH338" s="13"/>
    </row>
    <row r="339" ht="14.25" customHeight="1">
      <c r="BG339" s="13"/>
      <c r="BH339" s="13"/>
    </row>
    <row r="340" ht="14.25" customHeight="1">
      <c r="BG340" s="13"/>
      <c r="BH340" s="13"/>
    </row>
    <row r="341" ht="14.25" customHeight="1">
      <c r="BG341" s="13"/>
      <c r="BH341" s="13"/>
    </row>
    <row r="342" ht="14.25" customHeight="1">
      <c r="BG342" s="13"/>
      <c r="BH342" s="13"/>
    </row>
    <row r="343" ht="14.25" customHeight="1">
      <c r="BG343" s="13"/>
      <c r="BH343" s="13"/>
    </row>
    <row r="344" ht="14.25" customHeight="1">
      <c r="BG344" s="13"/>
      <c r="BH344" s="13"/>
    </row>
    <row r="345" ht="14.25" customHeight="1">
      <c r="BG345" s="13"/>
      <c r="BH345" s="13"/>
    </row>
    <row r="346" ht="14.25" customHeight="1">
      <c r="BG346" s="13"/>
      <c r="BH346" s="13"/>
    </row>
    <row r="347" ht="14.25" customHeight="1">
      <c r="BG347" s="13"/>
      <c r="BH347" s="13"/>
    </row>
    <row r="348" ht="14.25" customHeight="1">
      <c r="BG348" s="13"/>
      <c r="BH348" s="13"/>
    </row>
    <row r="349" ht="14.25" customHeight="1">
      <c r="BG349" s="13"/>
      <c r="BH349" s="13"/>
    </row>
    <row r="350" ht="14.25" customHeight="1">
      <c r="BG350" s="13"/>
      <c r="BH350" s="13"/>
    </row>
    <row r="351" ht="14.25" customHeight="1">
      <c r="BG351" s="13"/>
      <c r="BH351" s="13"/>
    </row>
    <row r="352" ht="14.25" customHeight="1">
      <c r="BG352" s="13"/>
      <c r="BH352" s="13"/>
    </row>
    <row r="353" ht="14.25" customHeight="1">
      <c r="BG353" s="13"/>
      <c r="BH353" s="13"/>
    </row>
    <row r="354" ht="14.25" customHeight="1">
      <c r="BG354" s="13"/>
      <c r="BH354" s="13"/>
    </row>
    <row r="355" ht="14.25" customHeight="1">
      <c r="BG355" s="13"/>
      <c r="BH355" s="13"/>
    </row>
    <row r="356" ht="14.25" customHeight="1">
      <c r="BG356" s="13"/>
      <c r="BH356" s="13"/>
    </row>
    <row r="357" ht="14.25" customHeight="1">
      <c r="BG357" s="13"/>
      <c r="BH357" s="13"/>
    </row>
    <row r="358" ht="14.25" customHeight="1">
      <c r="BG358" s="13"/>
      <c r="BH358" s="13"/>
    </row>
    <row r="359" ht="14.25" customHeight="1">
      <c r="BG359" s="13"/>
      <c r="BH359" s="13"/>
    </row>
    <row r="360" ht="14.25" customHeight="1">
      <c r="BG360" s="13"/>
      <c r="BH360" s="13"/>
    </row>
    <row r="361" ht="14.25" customHeight="1">
      <c r="BG361" s="13"/>
      <c r="BH361" s="13"/>
    </row>
    <row r="362" ht="14.25" customHeight="1">
      <c r="BG362" s="13"/>
      <c r="BH362" s="13"/>
    </row>
    <row r="363" ht="14.25" customHeight="1">
      <c r="BG363" s="13"/>
      <c r="BH363" s="13"/>
    </row>
    <row r="364" ht="14.25" customHeight="1">
      <c r="BG364" s="13"/>
      <c r="BH364" s="13"/>
    </row>
    <row r="365" ht="14.25" customHeight="1">
      <c r="BG365" s="13"/>
      <c r="BH365" s="13"/>
    </row>
    <row r="366" ht="14.25" customHeight="1">
      <c r="BG366" s="13"/>
      <c r="BH366" s="13"/>
    </row>
    <row r="367" ht="14.25" customHeight="1">
      <c r="BG367" s="13"/>
      <c r="BH367" s="13"/>
    </row>
    <row r="368" ht="14.25" customHeight="1">
      <c r="BG368" s="13"/>
      <c r="BH368" s="13"/>
    </row>
    <row r="369" ht="14.25" customHeight="1">
      <c r="BG369" s="13"/>
      <c r="BH369" s="13"/>
    </row>
    <row r="370" ht="14.25" customHeight="1">
      <c r="BG370" s="13"/>
      <c r="BH370" s="13"/>
    </row>
    <row r="371" ht="14.25" customHeight="1">
      <c r="BG371" s="13"/>
      <c r="BH371" s="13"/>
    </row>
    <row r="372" ht="14.25" customHeight="1">
      <c r="BG372" s="13"/>
      <c r="BH372" s="13"/>
    </row>
    <row r="373" ht="14.25" customHeight="1">
      <c r="BG373" s="13"/>
      <c r="BH373" s="13"/>
    </row>
    <row r="374" ht="14.25" customHeight="1">
      <c r="BG374" s="13"/>
      <c r="BH374" s="13"/>
    </row>
    <row r="375" ht="14.25" customHeight="1">
      <c r="BG375" s="13"/>
      <c r="BH375" s="13"/>
    </row>
    <row r="376" ht="14.25" customHeight="1">
      <c r="BG376" s="13"/>
      <c r="BH376" s="13"/>
    </row>
    <row r="377" ht="14.25" customHeight="1">
      <c r="BG377" s="13"/>
      <c r="BH377" s="13"/>
    </row>
    <row r="378" ht="14.25" customHeight="1">
      <c r="BG378" s="13"/>
      <c r="BH378" s="13"/>
    </row>
    <row r="379" ht="14.25" customHeight="1">
      <c r="BG379" s="13"/>
      <c r="BH379" s="13"/>
    </row>
    <row r="380" ht="14.25" customHeight="1">
      <c r="BG380" s="13"/>
      <c r="BH380" s="13"/>
    </row>
    <row r="381" ht="14.25" customHeight="1">
      <c r="BG381" s="13"/>
      <c r="BH381" s="13"/>
    </row>
    <row r="382" ht="14.25" customHeight="1">
      <c r="BG382" s="13"/>
      <c r="BH382" s="13"/>
    </row>
    <row r="383" ht="14.25" customHeight="1">
      <c r="BG383" s="13"/>
      <c r="BH383" s="13"/>
    </row>
    <row r="384" ht="14.25" customHeight="1">
      <c r="BG384" s="13"/>
      <c r="BH384" s="13"/>
    </row>
    <row r="385" ht="14.25" customHeight="1">
      <c r="BG385" s="13"/>
      <c r="BH385" s="13"/>
    </row>
    <row r="386" ht="14.25" customHeight="1">
      <c r="BG386" s="13"/>
      <c r="BH386" s="13"/>
    </row>
    <row r="387" ht="14.25" customHeight="1">
      <c r="BG387" s="13"/>
      <c r="BH387" s="13"/>
    </row>
    <row r="388" ht="14.25" customHeight="1">
      <c r="BG388" s="13"/>
      <c r="BH388" s="13"/>
    </row>
    <row r="389" ht="14.25" customHeight="1">
      <c r="BG389" s="13"/>
      <c r="BH389" s="13"/>
    </row>
    <row r="390" ht="14.25" customHeight="1">
      <c r="BG390" s="13"/>
      <c r="BH390" s="13"/>
    </row>
    <row r="391" ht="14.25" customHeight="1">
      <c r="BG391" s="13"/>
      <c r="BH391" s="13"/>
    </row>
    <row r="392" ht="14.25" customHeight="1">
      <c r="BG392" s="13"/>
      <c r="BH392" s="13"/>
    </row>
    <row r="393" ht="14.25" customHeight="1">
      <c r="BG393" s="13"/>
      <c r="BH393" s="13"/>
    </row>
    <row r="394" ht="14.25" customHeight="1">
      <c r="BG394" s="13"/>
      <c r="BH394" s="13"/>
    </row>
    <row r="395" ht="14.25" customHeight="1">
      <c r="BG395" s="13"/>
      <c r="BH395" s="13"/>
    </row>
    <row r="396" ht="14.25" customHeight="1">
      <c r="BG396" s="13"/>
      <c r="BH396" s="13"/>
    </row>
    <row r="397" ht="14.25" customHeight="1">
      <c r="BG397" s="13"/>
      <c r="BH397" s="13"/>
    </row>
    <row r="398" ht="14.25" customHeight="1">
      <c r="BG398" s="13"/>
      <c r="BH398" s="13"/>
    </row>
    <row r="399" ht="14.25" customHeight="1">
      <c r="BG399" s="13"/>
      <c r="BH399" s="13"/>
    </row>
    <row r="400" ht="14.25" customHeight="1">
      <c r="BG400" s="13"/>
      <c r="BH400" s="13"/>
    </row>
    <row r="401" ht="14.25" customHeight="1">
      <c r="BG401" s="13"/>
      <c r="BH401" s="13"/>
    </row>
    <row r="402" ht="14.25" customHeight="1">
      <c r="BG402" s="13"/>
      <c r="BH402" s="13"/>
    </row>
    <row r="403" ht="14.25" customHeight="1">
      <c r="BG403" s="13"/>
      <c r="BH403" s="13"/>
    </row>
    <row r="404" ht="14.25" customHeight="1">
      <c r="BG404" s="13"/>
      <c r="BH404" s="13"/>
    </row>
    <row r="405" ht="14.25" customHeight="1">
      <c r="BG405" s="13"/>
      <c r="BH405" s="13"/>
    </row>
    <row r="406" ht="14.25" customHeight="1">
      <c r="BG406" s="13"/>
      <c r="BH406" s="13"/>
    </row>
    <row r="407" ht="14.25" customHeight="1">
      <c r="BG407" s="13"/>
      <c r="BH407" s="13"/>
    </row>
    <row r="408" ht="14.25" customHeight="1">
      <c r="BG408" s="13"/>
      <c r="BH408" s="13"/>
    </row>
    <row r="409" ht="14.25" customHeight="1">
      <c r="BG409" s="13"/>
      <c r="BH409" s="13"/>
    </row>
    <row r="410" ht="14.25" customHeight="1">
      <c r="BG410" s="13"/>
      <c r="BH410" s="13"/>
    </row>
    <row r="411" ht="14.25" customHeight="1">
      <c r="BG411" s="13"/>
      <c r="BH411" s="13"/>
    </row>
    <row r="412" ht="14.25" customHeight="1">
      <c r="BG412" s="13"/>
      <c r="BH412" s="13"/>
    </row>
    <row r="413" ht="14.25" customHeight="1">
      <c r="BG413" s="13"/>
      <c r="BH413" s="13"/>
    </row>
    <row r="414" ht="14.25" customHeight="1">
      <c r="BG414" s="13"/>
      <c r="BH414" s="13"/>
    </row>
    <row r="415" ht="14.25" customHeight="1">
      <c r="BG415" s="13"/>
      <c r="BH415" s="13"/>
    </row>
    <row r="416" ht="14.25" customHeight="1">
      <c r="BG416" s="13"/>
      <c r="BH416" s="13"/>
    </row>
    <row r="417" ht="14.25" customHeight="1">
      <c r="BG417" s="13"/>
      <c r="BH417" s="13"/>
    </row>
    <row r="418" ht="14.25" customHeight="1">
      <c r="BG418" s="13"/>
      <c r="BH418" s="13"/>
    </row>
    <row r="419" ht="14.25" customHeight="1">
      <c r="BG419" s="13"/>
      <c r="BH419" s="13"/>
    </row>
    <row r="420" ht="14.25" customHeight="1">
      <c r="BG420" s="13"/>
      <c r="BH420" s="13"/>
    </row>
    <row r="421" ht="14.25" customHeight="1">
      <c r="BG421" s="13"/>
      <c r="BH421" s="13"/>
    </row>
    <row r="422" ht="14.25" customHeight="1">
      <c r="BG422" s="13"/>
      <c r="BH422" s="13"/>
    </row>
    <row r="423" ht="14.25" customHeight="1">
      <c r="BG423" s="13"/>
      <c r="BH423" s="13"/>
    </row>
    <row r="424" ht="14.25" customHeight="1">
      <c r="BG424" s="13"/>
      <c r="BH424" s="13"/>
    </row>
    <row r="425" ht="14.25" customHeight="1">
      <c r="BG425" s="13"/>
      <c r="BH425" s="13"/>
    </row>
    <row r="426" ht="14.25" customHeight="1">
      <c r="BG426" s="13"/>
      <c r="BH426" s="13"/>
    </row>
    <row r="427" ht="14.25" customHeight="1">
      <c r="BG427" s="13"/>
      <c r="BH427" s="13"/>
    </row>
    <row r="428" ht="14.25" customHeight="1">
      <c r="BG428" s="13"/>
      <c r="BH428" s="13"/>
    </row>
    <row r="429" ht="14.25" customHeight="1">
      <c r="BG429" s="13"/>
      <c r="BH429" s="13"/>
    </row>
    <row r="430" ht="14.25" customHeight="1">
      <c r="BG430" s="13"/>
      <c r="BH430" s="13"/>
    </row>
    <row r="431" ht="14.25" customHeight="1">
      <c r="BG431" s="13"/>
      <c r="BH431" s="13"/>
    </row>
    <row r="432" ht="14.25" customHeight="1">
      <c r="BG432" s="13"/>
      <c r="BH432" s="13"/>
    </row>
    <row r="433" ht="14.25" customHeight="1">
      <c r="BG433" s="13"/>
      <c r="BH433" s="13"/>
    </row>
    <row r="434" ht="14.25" customHeight="1">
      <c r="BG434" s="13"/>
      <c r="BH434" s="13"/>
    </row>
    <row r="435" ht="14.25" customHeight="1">
      <c r="BG435" s="13"/>
      <c r="BH435" s="13"/>
    </row>
    <row r="436" ht="14.25" customHeight="1">
      <c r="BG436" s="13"/>
      <c r="BH436" s="13"/>
    </row>
    <row r="437" ht="14.25" customHeight="1">
      <c r="BG437" s="13"/>
      <c r="BH437" s="13"/>
    </row>
    <row r="438" ht="14.25" customHeight="1">
      <c r="BG438" s="13"/>
      <c r="BH438" s="13"/>
    </row>
    <row r="439" ht="14.25" customHeight="1">
      <c r="BG439" s="13"/>
      <c r="BH439" s="13"/>
    </row>
    <row r="440" ht="14.25" customHeight="1">
      <c r="BG440" s="13"/>
      <c r="BH440" s="13"/>
    </row>
    <row r="441" ht="14.25" customHeight="1">
      <c r="BG441" s="13"/>
      <c r="BH441" s="13"/>
    </row>
    <row r="442" ht="14.25" customHeight="1">
      <c r="BG442" s="13"/>
      <c r="BH442" s="13"/>
    </row>
    <row r="443" ht="14.25" customHeight="1">
      <c r="BG443" s="13"/>
      <c r="BH443" s="13"/>
    </row>
    <row r="444" ht="14.25" customHeight="1">
      <c r="BG444" s="13"/>
      <c r="BH444" s="13"/>
    </row>
    <row r="445" ht="14.25" customHeight="1">
      <c r="BG445" s="13"/>
      <c r="BH445" s="13"/>
    </row>
    <row r="446" ht="14.25" customHeight="1">
      <c r="BG446" s="13"/>
      <c r="BH446" s="13"/>
    </row>
    <row r="447" ht="14.25" customHeight="1">
      <c r="BG447" s="13"/>
      <c r="BH447" s="13"/>
    </row>
    <row r="448" ht="14.25" customHeight="1">
      <c r="BG448" s="13"/>
      <c r="BH448" s="13"/>
    </row>
    <row r="449" ht="14.25" customHeight="1">
      <c r="BG449" s="13"/>
      <c r="BH449" s="13"/>
    </row>
    <row r="450" ht="14.25" customHeight="1">
      <c r="BG450" s="13"/>
      <c r="BH450" s="13"/>
    </row>
    <row r="451" ht="14.25" customHeight="1">
      <c r="BG451" s="13"/>
      <c r="BH451" s="13"/>
    </row>
    <row r="452" ht="14.25" customHeight="1">
      <c r="BG452" s="13"/>
      <c r="BH452" s="13"/>
    </row>
    <row r="453" ht="14.25" customHeight="1">
      <c r="BG453" s="13"/>
      <c r="BH453" s="13"/>
    </row>
    <row r="454" ht="14.25" customHeight="1">
      <c r="BG454" s="13"/>
      <c r="BH454" s="13"/>
    </row>
    <row r="455" ht="14.25" customHeight="1">
      <c r="BG455" s="13"/>
      <c r="BH455" s="13"/>
    </row>
    <row r="456" ht="14.25" customHeight="1">
      <c r="BG456" s="13"/>
      <c r="BH456" s="13"/>
    </row>
    <row r="457" ht="14.25" customHeight="1">
      <c r="BG457" s="13"/>
      <c r="BH457" s="13"/>
    </row>
    <row r="458" ht="14.25" customHeight="1">
      <c r="BG458" s="13"/>
      <c r="BH458" s="13"/>
    </row>
    <row r="459" ht="14.25" customHeight="1">
      <c r="BG459" s="13"/>
      <c r="BH459" s="13"/>
    </row>
    <row r="460" ht="14.25" customHeight="1">
      <c r="BG460" s="13"/>
      <c r="BH460" s="13"/>
    </row>
    <row r="461" ht="14.25" customHeight="1">
      <c r="BG461" s="13"/>
      <c r="BH461" s="13"/>
    </row>
    <row r="462" ht="14.25" customHeight="1">
      <c r="BG462" s="13"/>
      <c r="BH462" s="13"/>
    </row>
    <row r="463" ht="14.25" customHeight="1">
      <c r="BG463" s="13"/>
      <c r="BH463" s="13"/>
    </row>
    <row r="464" ht="14.25" customHeight="1">
      <c r="BG464" s="13"/>
      <c r="BH464" s="13"/>
    </row>
    <row r="465" ht="14.25" customHeight="1">
      <c r="BG465" s="13"/>
      <c r="BH465" s="13"/>
    </row>
    <row r="466" ht="14.25" customHeight="1">
      <c r="BG466" s="13"/>
      <c r="BH466" s="13"/>
    </row>
    <row r="467" ht="14.25" customHeight="1">
      <c r="BG467" s="13"/>
      <c r="BH467" s="13"/>
    </row>
    <row r="468" ht="14.25" customHeight="1">
      <c r="BG468" s="13"/>
      <c r="BH468" s="13"/>
    </row>
    <row r="469" ht="14.25" customHeight="1">
      <c r="BG469" s="13"/>
      <c r="BH469" s="13"/>
    </row>
    <row r="470" ht="14.25" customHeight="1">
      <c r="BG470" s="13"/>
      <c r="BH470" s="13"/>
    </row>
    <row r="471" ht="14.25" customHeight="1">
      <c r="BG471" s="13"/>
      <c r="BH471" s="13"/>
    </row>
    <row r="472" ht="14.25" customHeight="1">
      <c r="BG472" s="13"/>
      <c r="BH472" s="13"/>
    </row>
    <row r="473" ht="14.25" customHeight="1">
      <c r="BG473" s="13"/>
      <c r="BH473" s="13"/>
    </row>
    <row r="474" ht="14.25" customHeight="1">
      <c r="BG474" s="13"/>
      <c r="BH474" s="13"/>
    </row>
    <row r="475" ht="14.25" customHeight="1">
      <c r="BG475" s="13"/>
      <c r="BH475" s="13"/>
    </row>
    <row r="476" ht="14.25" customHeight="1">
      <c r="BG476" s="13"/>
      <c r="BH476" s="13"/>
    </row>
    <row r="477" ht="14.25" customHeight="1">
      <c r="BG477" s="13"/>
      <c r="BH477" s="13"/>
    </row>
    <row r="478" ht="14.25" customHeight="1">
      <c r="BG478" s="13"/>
      <c r="BH478" s="13"/>
    </row>
    <row r="479" ht="14.25" customHeight="1">
      <c r="BG479" s="13"/>
      <c r="BH479" s="13"/>
    </row>
    <row r="480" ht="14.25" customHeight="1">
      <c r="BG480" s="13"/>
      <c r="BH480" s="13"/>
    </row>
    <row r="481" ht="14.25" customHeight="1">
      <c r="BG481" s="13"/>
      <c r="BH481" s="13"/>
    </row>
    <row r="482" ht="14.25" customHeight="1">
      <c r="BG482" s="13"/>
      <c r="BH482" s="13"/>
    </row>
    <row r="483" ht="14.25" customHeight="1">
      <c r="BG483" s="13"/>
      <c r="BH483" s="13"/>
    </row>
    <row r="484" ht="14.25" customHeight="1">
      <c r="BG484" s="13"/>
      <c r="BH484" s="13"/>
    </row>
    <row r="485" ht="14.25" customHeight="1">
      <c r="BG485" s="13"/>
      <c r="BH485" s="13"/>
    </row>
    <row r="486" ht="14.25" customHeight="1">
      <c r="BG486" s="13"/>
      <c r="BH486" s="13"/>
    </row>
    <row r="487" ht="14.25" customHeight="1">
      <c r="BG487" s="13"/>
      <c r="BH487" s="13"/>
    </row>
    <row r="488" ht="14.25" customHeight="1">
      <c r="BG488" s="13"/>
      <c r="BH488" s="13"/>
    </row>
    <row r="489" ht="14.25" customHeight="1">
      <c r="BG489" s="13"/>
      <c r="BH489" s="13"/>
    </row>
    <row r="490" ht="14.25" customHeight="1">
      <c r="BG490" s="13"/>
      <c r="BH490" s="13"/>
    </row>
    <row r="491" ht="14.25" customHeight="1">
      <c r="BG491" s="13"/>
      <c r="BH491" s="13"/>
    </row>
    <row r="492" ht="14.25" customHeight="1">
      <c r="BG492" s="13"/>
      <c r="BH492" s="13"/>
    </row>
    <row r="493" ht="14.25" customHeight="1">
      <c r="BG493" s="13"/>
      <c r="BH493" s="13"/>
    </row>
    <row r="494" ht="14.25" customHeight="1">
      <c r="BG494" s="13"/>
      <c r="BH494" s="13"/>
    </row>
    <row r="495" ht="14.25" customHeight="1">
      <c r="BG495" s="13"/>
      <c r="BH495" s="13"/>
    </row>
    <row r="496" ht="14.25" customHeight="1">
      <c r="BG496" s="13"/>
      <c r="BH496" s="13"/>
    </row>
    <row r="497" ht="14.25" customHeight="1">
      <c r="BG497" s="13"/>
      <c r="BH497" s="13"/>
    </row>
    <row r="498" ht="14.25" customHeight="1">
      <c r="BG498" s="13"/>
      <c r="BH498" s="13"/>
    </row>
    <row r="499" ht="14.25" customHeight="1">
      <c r="BG499" s="13"/>
      <c r="BH499" s="13"/>
    </row>
    <row r="500" ht="14.25" customHeight="1">
      <c r="BG500" s="13"/>
      <c r="BH500" s="13"/>
    </row>
    <row r="501" ht="14.25" customHeight="1">
      <c r="BG501" s="13"/>
      <c r="BH501" s="13"/>
    </row>
    <row r="502" ht="14.25" customHeight="1">
      <c r="BG502" s="13"/>
      <c r="BH502" s="13"/>
    </row>
    <row r="503" ht="14.25" customHeight="1">
      <c r="BG503" s="13"/>
      <c r="BH503" s="13"/>
    </row>
    <row r="504" ht="14.25" customHeight="1">
      <c r="BG504" s="13"/>
      <c r="BH504" s="13"/>
    </row>
    <row r="505" ht="14.25" customHeight="1">
      <c r="BG505" s="13"/>
      <c r="BH505" s="13"/>
    </row>
    <row r="506" ht="14.25" customHeight="1">
      <c r="BG506" s="13"/>
      <c r="BH506" s="13"/>
    </row>
    <row r="507" ht="14.25" customHeight="1">
      <c r="BG507" s="13"/>
      <c r="BH507" s="13"/>
    </row>
    <row r="508" ht="14.25" customHeight="1">
      <c r="BG508" s="13"/>
      <c r="BH508" s="13"/>
    </row>
    <row r="509" ht="14.25" customHeight="1">
      <c r="BG509" s="13"/>
      <c r="BH509" s="13"/>
    </row>
    <row r="510" ht="14.25" customHeight="1">
      <c r="BG510" s="13"/>
      <c r="BH510" s="13"/>
    </row>
    <row r="511" ht="14.25" customHeight="1">
      <c r="BG511" s="13"/>
      <c r="BH511" s="13"/>
    </row>
    <row r="512" ht="14.25" customHeight="1">
      <c r="BG512" s="13"/>
      <c r="BH512" s="13"/>
    </row>
    <row r="513" ht="14.25" customHeight="1">
      <c r="BG513" s="13"/>
      <c r="BH513" s="13"/>
    </row>
    <row r="514" ht="14.25" customHeight="1">
      <c r="BG514" s="13"/>
      <c r="BH514" s="13"/>
    </row>
    <row r="515" ht="14.25" customHeight="1">
      <c r="BG515" s="13"/>
      <c r="BH515" s="13"/>
    </row>
    <row r="516" ht="14.25" customHeight="1">
      <c r="BG516" s="13"/>
      <c r="BH516" s="13"/>
    </row>
    <row r="517" ht="14.25" customHeight="1">
      <c r="BG517" s="13"/>
      <c r="BH517" s="13"/>
    </row>
    <row r="518" ht="14.25" customHeight="1">
      <c r="BG518" s="13"/>
      <c r="BH518" s="13"/>
    </row>
    <row r="519" ht="14.25" customHeight="1">
      <c r="BG519" s="13"/>
      <c r="BH519" s="13"/>
    </row>
    <row r="520" ht="14.25" customHeight="1">
      <c r="BG520" s="13"/>
      <c r="BH520" s="13"/>
    </row>
    <row r="521" ht="14.25" customHeight="1">
      <c r="BG521" s="13"/>
      <c r="BH521" s="13"/>
    </row>
    <row r="522" ht="14.25" customHeight="1">
      <c r="BG522" s="13"/>
      <c r="BH522" s="13"/>
    </row>
    <row r="523" ht="14.25" customHeight="1">
      <c r="BG523" s="13"/>
      <c r="BH523" s="13"/>
    </row>
    <row r="524" ht="14.25" customHeight="1">
      <c r="BG524" s="13"/>
      <c r="BH524" s="13"/>
    </row>
    <row r="525" ht="14.25" customHeight="1">
      <c r="BG525" s="13"/>
      <c r="BH525" s="13"/>
    </row>
    <row r="526" ht="14.25" customHeight="1">
      <c r="BG526" s="13"/>
      <c r="BH526" s="13"/>
    </row>
    <row r="527" ht="14.25" customHeight="1">
      <c r="BG527" s="13"/>
      <c r="BH527" s="13"/>
    </row>
    <row r="528" ht="14.25" customHeight="1">
      <c r="BG528" s="13"/>
      <c r="BH528" s="13"/>
    </row>
    <row r="529" ht="14.25" customHeight="1">
      <c r="BG529" s="13"/>
      <c r="BH529" s="13"/>
    </row>
    <row r="530" ht="14.25" customHeight="1">
      <c r="BG530" s="13"/>
      <c r="BH530" s="13"/>
    </row>
    <row r="531" ht="14.25" customHeight="1">
      <c r="BG531" s="13"/>
      <c r="BH531" s="13"/>
    </row>
    <row r="532" ht="14.25" customHeight="1">
      <c r="BG532" s="13"/>
      <c r="BH532" s="13"/>
    </row>
    <row r="533" ht="14.25" customHeight="1">
      <c r="BG533" s="13"/>
      <c r="BH533" s="13"/>
    </row>
    <row r="534" ht="14.25" customHeight="1">
      <c r="BG534" s="13"/>
      <c r="BH534" s="13"/>
    </row>
    <row r="535" ht="14.25" customHeight="1">
      <c r="BG535" s="13"/>
      <c r="BH535" s="13"/>
    </row>
    <row r="536" ht="14.25" customHeight="1">
      <c r="BG536" s="13"/>
      <c r="BH536" s="13"/>
    </row>
    <row r="537" ht="14.25" customHeight="1">
      <c r="BG537" s="13"/>
      <c r="BH537" s="13"/>
    </row>
    <row r="538" ht="14.25" customHeight="1">
      <c r="BG538" s="13"/>
      <c r="BH538" s="13"/>
    </row>
    <row r="539" ht="14.25" customHeight="1">
      <c r="BG539" s="13"/>
      <c r="BH539" s="13"/>
    </row>
    <row r="540" ht="14.25" customHeight="1">
      <c r="BG540" s="13"/>
      <c r="BH540" s="13"/>
    </row>
    <row r="541" ht="14.25" customHeight="1">
      <c r="BG541" s="13"/>
      <c r="BH541" s="13"/>
    </row>
    <row r="542" ht="14.25" customHeight="1">
      <c r="BG542" s="13"/>
      <c r="BH542" s="13"/>
    </row>
    <row r="543" ht="14.25" customHeight="1">
      <c r="BG543" s="13"/>
      <c r="BH543" s="13"/>
    </row>
    <row r="544" ht="14.25" customHeight="1">
      <c r="BG544" s="13"/>
      <c r="BH544" s="13"/>
    </row>
    <row r="545" ht="14.25" customHeight="1">
      <c r="BG545" s="13"/>
      <c r="BH545" s="13"/>
    </row>
    <row r="546" ht="14.25" customHeight="1">
      <c r="BG546" s="13"/>
      <c r="BH546" s="13"/>
    </row>
    <row r="547" ht="14.25" customHeight="1">
      <c r="BG547" s="13"/>
      <c r="BH547" s="13"/>
    </row>
    <row r="548" ht="14.25" customHeight="1">
      <c r="BG548" s="13"/>
      <c r="BH548" s="13"/>
    </row>
    <row r="549" ht="14.25" customHeight="1">
      <c r="BG549" s="13"/>
      <c r="BH549" s="13"/>
    </row>
    <row r="550" ht="14.25" customHeight="1">
      <c r="BG550" s="13"/>
      <c r="BH550" s="13"/>
    </row>
    <row r="551" ht="14.25" customHeight="1">
      <c r="BG551" s="13"/>
      <c r="BH551" s="13"/>
    </row>
    <row r="552" ht="14.25" customHeight="1">
      <c r="BG552" s="13"/>
      <c r="BH552" s="13"/>
    </row>
    <row r="553" ht="14.25" customHeight="1">
      <c r="BG553" s="13"/>
      <c r="BH553" s="13"/>
    </row>
    <row r="554" ht="14.25" customHeight="1">
      <c r="BG554" s="13"/>
      <c r="BH554" s="13"/>
    </row>
    <row r="555" ht="14.25" customHeight="1">
      <c r="BG555" s="13"/>
      <c r="BH555" s="13"/>
    </row>
    <row r="556" ht="14.25" customHeight="1">
      <c r="BG556" s="13"/>
      <c r="BH556" s="13"/>
    </row>
    <row r="557" ht="14.25" customHeight="1">
      <c r="BG557" s="13"/>
      <c r="BH557" s="13"/>
    </row>
    <row r="558" ht="14.25" customHeight="1">
      <c r="BG558" s="13"/>
      <c r="BH558" s="13"/>
    </row>
    <row r="559" ht="14.25" customHeight="1">
      <c r="BG559" s="13"/>
      <c r="BH559" s="13"/>
    </row>
    <row r="560" ht="14.25" customHeight="1">
      <c r="BG560" s="13"/>
      <c r="BH560" s="13"/>
    </row>
    <row r="561" ht="14.25" customHeight="1">
      <c r="BG561" s="13"/>
      <c r="BH561" s="13"/>
    </row>
    <row r="562" ht="14.25" customHeight="1">
      <c r="BG562" s="13"/>
      <c r="BH562" s="13"/>
    </row>
    <row r="563" ht="14.25" customHeight="1">
      <c r="BG563" s="13"/>
      <c r="BH563" s="13"/>
    </row>
    <row r="564" ht="14.25" customHeight="1">
      <c r="BG564" s="13"/>
      <c r="BH564" s="13"/>
    </row>
    <row r="565" ht="14.25" customHeight="1">
      <c r="BG565" s="13"/>
      <c r="BH565" s="13"/>
    </row>
    <row r="566" ht="14.25" customHeight="1">
      <c r="BG566" s="13"/>
      <c r="BH566" s="13"/>
    </row>
    <row r="567" ht="14.25" customHeight="1">
      <c r="BG567" s="13"/>
      <c r="BH567" s="13"/>
    </row>
    <row r="568" ht="14.25" customHeight="1">
      <c r="BG568" s="13"/>
      <c r="BH568" s="13"/>
    </row>
    <row r="569" ht="14.25" customHeight="1">
      <c r="BG569" s="13"/>
      <c r="BH569" s="13"/>
    </row>
    <row r="570" ht="14.25" customHeight="1">
      <c r="BG570" s="13"/>
      <c r="BH570" s="13"/>
    </row>
    <row r="571" ht="14.25" customHeight="1">
      <c r="BG571" s="13"/>
      <c r="BH571" s="13"/>
    </row>
    <row r="572" ht="14.25" customHeight="1">
      <c r="BG572" s="13"/>
      <c r="BH572" s="13"/>
    </row>
    <row r="573" ht="14.25" customHeight="1">
      <c r="BG573" s="13"/>
      <c r="BH573" s="13"/>
    </row>
    <row r="574" ht="14.25" customHeight="1">
      <c r="BG574" s="13"/>
      <c r="BH574" s="13"/>
    </row>
    <row r="575" ht="14.25" customHeight="1">
      <c r="BG575" s="13"/>
      <c r="BH575" s="13"/>
    </row>
    <row r="576" ht="14.25" customHeight="1">
      <c r="BG576" s="13"/>
      <c r="BH576" s="13"/>
    </row>
    <row r="577" ht="14.25" customHeight="1">
      <c r="BG577" s="13"/>
      <c r="BH577" s="13"/>
    </row>
    <row r="578" ht="14.25" customHeight="1">
      <c r="BG578" s="13"/>
      <c r="BH578" s="13"/>
    </row>
    <row r="579" ht="14.25" customHeight="1">
      <c r="BG579" s="13"/>
      <c r="BH579" s="13"/>
    </row>
    <row r="580" ht="14.25" customHeight="1">
      <c r="BG580" s="13"/>
      <c r="BH580" s="13"/>
    </row>
    <row r="581" ht="14.25" customHeight="1">
      <c r="BG581" s="13"/>
      <c r="BH581" s="13"/>
    </row>
    <row r="582" ht="14.25" customHeight="1">
      <c r="BG582" s="13"/>
      <c r="BH582" s="13"/>
    </row>
    <row r="583" ht="14.25" customHeight="1">
      <c r="BG583" s="13"/>
      <c r="BH583" s="13"/>
    </row>
    <row r="584" ht="14.25" customHeight="1">
      <c r="BG584" s="13"/>
      <c r="BH584" s="13"/>
    </row>
    <row r="585" ht="14.25" customHeight="1">
      <c r="BG585" s="13"/>
      <c r="BH585" s="13"/>
    </row>
    <row r="586" ht="14.25" customHeight="1">
      <c r="BG586" s="13"/>
      <c r="BH586" s="13"/>
    </row>
    <row r="587" ht="14.25" customHeight="1">
      <c r="BG587" s="13"/>
      <c r="BH587" s="13"/>
    </row>
    <row r="588" ht="14.25" customHeight="1">
      <c r="BG588" s="13"/>
      <c r="BH588" s="13"/>
    </row>
    <row r="589" ht="14.25" customHeight="1">
      <c r="BG589" s="13"/>
      <c r="BH589" s="13"/>
    </row>
    <row r="590" ht="14.25" customHeight="1">
      <c r="BG590" s="13"/>
      <c r="BH590" s="13"/>
    </row>
    <row r="591" ht="14.25" customHeight="1">
      <c r="BG591" s="13"/>
      <c r="BH591" s="13"/>
    </row>
    <row r="592" ht="14.25" customHeight="1">
      <c r="BG592" s="13"/>
      <c r="BH592" s="13"/>
    </row>
    <row r="593" ht="14.25" customHeight="1">
      <c r="BG593" s="13"/>
      <c r="BH593" s="13"/>
    </row>
    <row r="594" ht="14.25" customHeight="1">
      <c r="BG594" s="13"/>
      <c r="BH594" s="13"/>
    </row>
    <row r="595" ht="14.25" customHeight="1">
      <c r="BG595" s="13"/>
      <c r="BH595" s="13"/>
    </row>
    <row r="596" ht="14.25" customHeight="1">
      <c r="BG596" s="13"/>
      <c r="BH596" s="13"/>
    </row>
    <row r="597" ht="14.25" customHeight="1">
      <c r="BG597" s="13"/>
      <c r="BH597" s="13"/>
    </row>
    <row r="598" ht="14.25" customHeight="1">
      <c r="BG598" s="13"/>
      <c r="BH598" s="13"/>
    </row>
    <row r="599" ht="14.25" customHeight="1">
      <c r="BG599" s="13"/>
      <c r="BH599" s="13"/>
    </row>
    <row r="600" ht="14.25" customHeight="1">
      <c r="BG600" s="13"/>
      <c r="BH600" s="13"/>
    </row>
    <row r="601" ht="14.25" customHeight="1">
      <c r="BG601" s="13"/>
      <c r="BH601" s="13"/>
    </row>
    <row r="602" ht="14.25" customHeight="1">
      <c r="BG602" s="13"/>
      <c r="BH602" s="13"/>
    </row>
    <row r="603" ht="14.25" customHeight="1">
      <c r="BG603" s="13"/>
      <c r="BH603" s="13"/>
    </row>
    <row r="604" ht="14.25" customHeight="1">
      <c r="BG604" s="13"/>
      <c r="BH604" s="13"/>
    </row>
    <row r="605" ht="14.25" customHeight="1">
      <c r="BG605" s="13"/>
      <c r="BH605" s="13"/>
    </row>
    <row r="606" ht="14.25" customHeight="1">
      <c r="BG606" s="13"/>
      <c r="BH606" s="13"/>
    </row>
    <row r="607" ht="14.25" customHeight="1">
      <c r="BG607" s="13"/>
      <c r="BH607" s="13"/>
    </row>
    <row r="608" ht="14.25" customHeight="1">
      <c r="BG608" s="13"/>
      <c r="BH608" s="13"/>
    </row>
    <row r="609" ht="14.25" customHeight="1">
      <c r="BG609" s="13"/>
      <c r="BH609" s="13"/>
    </row>
    <row r="610" ht="14.25" customHeight="1">
      <c r="BG610" s="13"/>
      <c r="BH610" s="13"/>
    </row>
    <row r="611" ht="14.25" customHeight="1">
      <c r="BG611" s="13"/>
      <c r="BH611" s="13"/>
    </row>
    <row r="612" ht="14.25" customHeight="1">
      <c r="BG612" s="13"/>
      <c r="BH612" s="13"/>
    </row>
    <row r="613" ht="14.25" customHeight="1">
      <c r="BG613" s="13"/>
      <c r="BH613" s="13"/>
    </row>
    <row r="614" ht="14.25" customHeight="1">
      <c r="BG614" s="13"/>
      <c r="BH614" s="13"/>
    </row>
    <row r="615" ht="14.25" customHeight="1">
      <c r="BG615" s="13"/>
      <c r="BH615" s="13"/>
    </row>
    <row r="616" ht="14.25" customHeight="1">
      <c r="BG616" s="13"/>
      <c r="BH616" s="13"/>
    </row>
    <row r="617" ht="14.25" customHeight="1">
      <c r="BG617" s="13"/>
      <c r="BH617" s="13"/>
    </row>
    <row r="618" ht="14.25" customHeight="1">
      <c r="BG618" s="13"/>
      <c r="BH618" s="13"/>
    </row>
    <row r="619" ht="14.25" customHeight="1">
      <c r="BG619" s="13"/>
      <c r="BH619" s="13"/>
    </row>
    <row r="620" ht="14.25" customHeight="1">
      <c r="BG620" s="13"/>
      <c r="BH620" s="13"/>
    </row>
    <row r="621" ht="14.25" customHeight="1">
      <c r="BG621" s="13"/>
      <c r="BH621" s="13"/>
    </row>
    <row r="622" ht="14.25" customHeight="1">
      <c r="BG622" s="13"/>
      <c r="BH622" s="13"/>
    </row>
    <row r="623" ht="14.25" customHeight="1">
      <c r="BG623" s="13"/>
      <c r="BH623" s="13"/>
    </row>
    <row r="624" ht="14.25" customHeight="1">
      <c r="BG624" s="13"/>
      <c r="BH624" s="13"/>
    </row>
    <row r="625" ht="14.25" customHeight="1">
      <c r="BG625" s="13"/>
      <c r="BH625" s="13"/>
    </row>
    <row r="626" ht="14.25" customHeight="1">
      <c r="BG626" s="13"/>
      <c r="BH626" s="13"/>
    </row>
    <row r="627" ht="14.25" customHeight="1">
      <c r="BG627" s="13"/>
      <c r="BH627" s="13"/>
    </row>
    <row r="628" ht="14.25" customHeight="1">
      <c r="BG628" s="13"/>
      <c r="BH628" s="13"/>
    </row>
    <row r="629" ht="14.25" customHeight="1">
      <c r="BG629" s="13"/>
      <c r="BH629" s="13"/>
    </row>
    <row r="630" ht="14.25" customHeight="1">
      <c r="BG630" s="13"/>
      <c r="BH630" s="13"/>
    </row>
    <row r="631" ht="14.25" customHeight="1">
      <c r="BG631" s="13"/>
      <c r="BH631" s="13"/>
    </row>
    <row r="632" ht="14.25" customHeight="1">
      <c r="BG632" s="13"/>
      <c r="BH632" s="13"/>
    </row>
    <row r="633" ht="14.25" customHeight="1">
      <c r="BG633" s="13"/>
      <c r="BH633" s="13"/>
    </row>
    <row r="634" ht="14.25" customHeight="1">
      <c r="BG634" s="13"/>
      <c r="BH634" s="13"/>
    </row>
    <row r="635" ht="14.25" customHeight="1">
      <c r="BG635" s="13"/>
      <c r="BH635" s="13"/>
    </row>
    <row r="636" ht="14.25" customHeight="1">
      <c r="BG636" s="13"/>
      <c r="BH636" s="13"/>
    </row>
    <row r="637" ht="14.25" customHeight="1">
      <c r="BG637" s="13"/>
      <c r="BH637" s="13"/>
    </row>
    <row r="638" ht="14.25" customHeight="1">
      <c r="BG638" s="13"/>
      <c r="BH638" s="13"/>
    </row>
    <row r="639" ht="14.25" customHeight="1">
      <c r="BG639" s="13"/>
      <c r="BH639" s="13"/>
    </row>
    <row r="640" ht="14.25" customHeight="1">
      <c r="BG640" s="13"/>
      <c r="BH640" s="13"/>
    </row>
    <row r="641" ht="14.25" customHeight="1">
      <c r="BG641" s="13"/>
      <c r="BH641" s="13"/>
    </row>
    <row r="642" ht="14.25" customHeight="1">
      <c r="BG642" s="13"/>
      <c r="BH642" s="13"/>
    </row>
    <row r="643" ht="14.25" customHeight="1">
      <c r="BG643" s="13"/>
      <c r="BH643" s="13"/>
    </row>
    <row r="644" ht="14.25" customHeight="1">
      <c r="BG644" s="13"/>
      <c r="BH644" s="13"/>
    </row>
    <row r="645" ht="14.25" customHeight="1">
      <c r="BG645" s="13"/>
      <c r="BH645" s="13"/>
    </row>
    <row r="646" ht="14.25" customHeight="1">
      <c r="BG646" s="13"/>
      <c r="BH646" s="13"/>
    </row>
    <row r="647" ht="14.25" customHeight="1">
      <c r="BG647" s="13"/>
      <c r="BH647" s="13"/>
    </row>
    <row r="648" ht="14.25" customHeight="1">
      <c r="BG648" s="13"/>
      <c r="BH648" s="13"/>
    </row>
    <row r="649" ht="14.25" customHeight="1">
      <c r="BG649" s="13"/>
      <c r="BH649" s="13"/>
    </row>
    <row r="650" ht="14.25" customHeight="1">
      <c r="BG650" s="13"/>
      <c r="BH650" s="13"/>
    </row>
    <row r="651" ht="14.25" customHeight="1">
      <c r="BG651" s="13"/>
      <c r="BH651" s="13"/>
    </row>
    <row r="652" ht="14.25" customHeight="1">
      <c r="BG652" s="13"/>
      <c r="BH652" s="13"/>
    </row>
    <row r="653" ht="14.25" customHeight="1">
      <c r="BG653" s="13"/>
      <c r="BH653" s="13"/>
    </row>
    <row r="654" ht="14.25" customHeight="1">
      <c r="BG654" s="13"/>
      <c r="BH654" s="13"/>
    </row>
    <row r="655" ht="14.25" customHeight="1">
      <c r="BG655" s="13"/>
      <c r="BH655" s="13"/>
    </row>
    <row r="656" ht="14.25" customHeight="1">
      <c r="BG656" s="13"/>
      <c r="BH656" s="13"/>
    </row>
    <row r="657" ht="14.25" customHeight="1">
      <c r="BG657" s="13"/>
      <c r="BH657" s="13"/>
    </row>
    <row r="658" ht="14.25" customHeight="1">
      <c r="BG658" s="13"/>
      <c r="BH658" s="13"/>
    </row>
    <row r="659" ht="14.25" customHeight="1">
      <c r="BG659" s="13"/>
      <c r="BH659" s="13"/>
    </row>
    <row r="660" ht="14.25" customHeight="1">
      <c r="BG660" s="13"/>
      <c r="BH660" s="13"/>
    </row>
    <row r="661" ht="14.25" customHeight="1">
      <c r="BG661" s="13"/>
      <c r="BH661" s="13"/>
    </row>
    <row r="662" ht="14.25" customHeight="1">
      <c r="BG662" s="13"/>
      <c r="BH662" s="13"/>
    </row>
    <row r="663" ht="14.25" customHeight="1">
      <c r="BG663" s="13"/>
      <c r="BH663" s="13"/>
    </row>
    <row r="664" ht="14.25" customHeight="1">
      <c r="BG664" s="13"/>
      <c r="BH664" s="13"/>
    </row>
    <row r="665" ht="14.25" customHeight="1">
      <c r="BG665" s="13"/>
      <c r="BH665" s="13"/>
    </row>
    <row r="666" ht="14.25" customHeight="1">
      <c r="BG666" s="13"/>
      <c r="BH666" s="13"/>
    </row>
    <row r="667" ht="14.25" customHeight="1">
      <c r="BG667" s="13"/>
      <c r="BH667" s="13"/>
    </row>
    <row r="668" ht="14.25" customHeight="1">
      <c r="BG668" s="13"/>
      <c r="BH668" s="13"/>
    </row>
    <row r="669" ht="14.25" customHeight="1">
      <c r="BG669" s="13"/>
      <c r="BH669" s="13"/>
    </row>
    <row r="670" ht="14.25" customHeight="1">
      <c r="BG670" s="13"/>
      <c r="BH670" s="13"/>
    </row>
    <row r="671" ht="14.25" customHeight="1">
      <c r="BG671" s="13"/>
      <c r="BH671" s="13"/>
    </row>
    <row r="672" ht="14.25" customHeight="1">
      <c r="BG672" s="13"/>
      <c r="BH672" s="13"/>
    </row>
    <row r="673" ht="14.25" customHeight="1">
      <c r="BG673" s="13"/>
      <c r="BH673" s="13"/>
    </row>
    <row r="674" ht="14.25" customHeight="1">
      <c r="BG674" s="13"/>
      <c r="BH674" s="13"/>
    </row>
    <row r="675" ht="14.25" customHeight="1">
      <c r="BG675" s="13"/>
      <c r="BH675" s="13"/>
    </row>
    <row r="676" ht="14.25" customHeight="1">
      <c r="BG676" s="13"/>
      <c r="BH676" s="13"/>
    </row>
    <row r="677" ht="14.25" customHeight="1">
      <c r="BG677" s="13"/>
      <c r="BH677" s="13"/>
    </row>
    <row r="678" ht="14.25" customHeight="1">
      <c r="BG678" s="13"/>
      <c r="BH678" s="13"/>
    </row>
    <row r="679" ht="14.25" customHeight="1">
      <c r="BG679" s="13"/>
      <c r="BH679" s="13"/>
    </row>
    <row r="680" ht="14.25" customHeight="1">
      <c r="BG680" s="13"/>
      <c r="BH680" s="13"/>
    </row>
    <row r="681" ht="14.25" customHeight="1">
      <c r="BG681" s="13"/>
      <c r="BH681" s="13"/>
    </row>
    <row r="682" ht="14.25" customHeight="1">
      <c r="BG682" s="13"/>
      <c r="BH682" s="13"/>
    </row>
    <row r="683" ht="14.25" customHeight="1">
      <c r="BG683" s="13"/>
      <c r="BH683" s="13"/>
    </row>
    <row r="684" ht="14.25" customHeight="1">
      <c r="BG684" s="13"/>
      <c r="BH684" s="13"/>
    </row>
    <row r="685" ht="14.25" customHeight="1">
      <c r="BG685" s="13"/>
      <c r="BH685" s="13"/>
    </row>
    <row r="686" ht="14.25" customHeight="1">
      <c r="BG686" s="13"/>
      <c r="BH686" s="13"/>
    </row>
    <row r="687" ht="14.25" customHeight="1">
      <c r="BG687" s="13"/>
      <c r="BH687" s="13"/>
    </row>
    <row r="688" ht="14.25" customHeight="1">
      <c r="BG688" s="13"/>
      <c r="BH688" s="13"/>
    </row>
    <row r="689" ht="14.25" customHeight="1">
      <c r="BG689" s="13"/>
      <c r="BH689" s="13"/>
    </row>
    <row r="690" ht="14.25" customHeight="1">
      <c r="BG690" s="13"/>
      <c r="BH690" s="13"/>
    </row>
    <row r="691" ht="14.25" customHeight="1">
      <c r="BG691" s="13"/>
      <c r="BH691" s="13"/>
    </row>
    <row r="692" ht="14.25" customHeight="1">
      <c r="BG692" s="13"/>
      <c r="BH692" s="13"/>
    </row>
    <row r="693" ht="14.25" customHeight="1">
      <c r="BG693" s="13"/>
      <c r="BH693" s="13"/>
    </row>
    <row r="694" ht="14.25" customHeight="1">
      <c r="BG694" s="13"/>
      <c r="BH694" s="13"/>
    </row>
    <row r="695" ht="14.25" customHeight="1">
      <c r="BG695" s="13"/>
      <c r="BH695" s="13"/>
    </row>
    <row r="696" ht="14.25" customHeight="1">
      <c r="BG696" s="13"/>
      <c r="BH696" s="13"/>
    </row>
    <row r="697" ht="14.25" customHeight="1">
      <c r="BG697" s="13"/>
      <c r="BH697" s="13"/>
    </row>
    <row r="698" ht="14.25" customHeight="1">
      <c r="BG698" s="13"/>
      <c r="BH698" s="13"/>
    </row>
    <row r="699" ht="14.25" customHeight="1">
      <c r="BG699" s="13"/>
      <c r="BH699" s="13"/>
    </row>
    <row r="700" ht="14.25" customHeight="1">
      <c r="BG700" s="13"/>
      <c r="BH700" s="13"/>
    </row>
    <row r="701" ht="14.25" customHeight="1">
      <c r="BG701" s="13"/>
      <c r="BH701" s="13"/>
    </row>
    <row r="702" ht="14.25" customHeight="1">
      <c r="BG702" s="13"/>
      <c r="BH702" s="13"/>
    </row>
    <row r="703" ht="14.25" customHeight="1">
      <c r="BG703" s="13"/>
      <c r="BH703" s="13"/>
    </row>
    <row r="704" ht="14.25" customHeight="1">
      <c r="BG704" s="13"/>
      <c r="BH704" s="13"/>
    </row>
    <row r="705" ht="14.25" customHeight="1">
      <c r="BG705" s="13"/>
      <c r="BH705" s="13"/>
    </row>
    <row r="706" ht="14.25" customHeight="1">
      <c r="BG706" s="13"/>
      <c r="BH706" s="13"/>
    </row>
    <row r="707" ht="14.25" customHeight="1">
      <c r="BG707" s="13"/>
      <c r="BH707" s="13"/>
    </row>
    <row r="708" ht="14.25" customHeight="1">
      <c r="BG708" s="13"/>
      <c r="BH708" s="13"/>
    </row>
    <row r="709" ht="14.25" customHeight="1">
      <c r="BG709" s="13"/>
      <c r="BH709" s="13"/>
    </row>
    <row r="710" ht="14.25" customHeight="1">
      <c r="BG710" s="13"/>
      <c r="BH710" s="13"/>
    </row>
    <row r="711" ht="14.25" customHeight="1">
      <c r="BG711" s="13"/>
      <c r="BH711" s="13"/>
    </row>
    <row r="712" ht="14.25" customHeight="1">
      <c r="BG712" s="13"/>
      <c r="BH712" s="13"/>
    </row>
    <row r="713" ht="14.25" customHeight="1">
      <c r="BG713" s="13"/>
      <c r="BH713" s="13"/>
    </row>
    <row r="714" ht="14.25" customHeight="1">
      <c r="BG714" s="13"/>
      <c r="BH714" s="13"/>
    </row>
    <row r="715" ht="14.25" customHeight="1">
      <c r="BG715" s="13"/>
      <c r="BH715" s="13"/>
    </row>
    <row r="716" ht="14.25" customHeight="1">
      <c r="BG716" s="13"/>
      <c r="BH716" s="13"/>
    </row>
    <row r="717" ht="14.25" customHeight="1">
      <c r="BG717" s="13"/>
      <c r="BH717" s="13"/>
    </row>
    <row r="718" ht="14.25" customHeight="1">
      <c r="BG718" s="13"/>
      <c r="BH718" s="13"/>
    </row>
    <row r="719" ht="14.25" customHeight="1">
      <c r="BG719" s="13"/>
      <c r="BH719" s="13"/>
    </row>
    <row r="720" ht="14.25" customHeight="1">
      <c r="BG720" s="13"/>
      <c r="BH720" s="13"/>
    </row>
    <row r="721" ht="14.25" customHeight="1">
      <c r="BG721" s="13"/>
      <c r="BH721" s="13"/>
    </row>
    <row r="722" ht="14.25" customHeight="1">
      <c r="BG722" s="13"/>
      <c r="BH722" s="13"/>
    </row>
    <row r="723" ht="14.25" customHeight="1">
      <c r="BG723" s="13"/>
      <c r="BH723" s="13"/>
    </row>
    <row r="724" ht="14.25" customHeight="1">
      <c r="BG724" s="13"/>
      <c r="BH724" s="13"/>
    </row>
    <row r="725" ht="14.25" customHeight="1">
      <c r="BG725" s="13"/>
      <c r="BH725" s="13"/>
    </row>
    <row r="726" ht="14.25" customHeight="1">
      <c r="BG726" s="13"/>
      <c r="BH726" s="13"/>
    </row>
    <row r="727" ht="14.25" customHeight="1">
      <c r="BG727" s="13"/>
      <c r="BH727" s="13"/>
    </row>
    <row r="728" ht="14.25" customHeight="1">
      <c r="BG728" s="13"/>
      <c r="BH728" s="13"/>
    </row>
    <row r="729" ht="14.25" customHeight="1">
      <c r="BG729" s="13"/>
      <c r="BH729" s="13"/>
    </row>
    <row r="730" ht="14.25" customHeight="1">
      <c r="BG730" s="13"/>
      <c r="BH730" s="13"/>
    </row>
    <row r="731" ht="14.25" customHeight="1">
      <c r="BG731" s="13"/>
      <c r="BH731" s="13"/>
    </row>
    <row r="732" ht="14.25" customHeight="1">
      <c r="BG732" s="13"/>
      <c r="BH732" s="13"/>
    </row>
    <row r="733" ht="14.25" customHeight="1">
      <c r="BG733" s="13"/>
      <c r="BH733" s="13"/>
    </row>
    <row r="734" ht="14.25" customHeight="1">
      <c r="BG734" s="13"/>
      <c r="BH734" s="13"/>
    </row>
    <row r="735" ht="14.25" customHeight="1">
      <c r="BG735" s="13"/>
      <c r="BH735" s="13"/>
    </row>
    <row r="736" ht="14.25" customHeight="1">
      <c r="BG736" s="13"/>
      <c r="BH736" s="13"/>
    </row>
    <row r="737" ht="14.25" customHeight="1">
      <c r="BG737" s="13"/>
      <c r="BH737" s="13"/>
    </row>
    <row r="738" ht="14.25" customHeight="1">
      <c r="BG738" s="13"/>
      <c r="BH738" s="13"/>
    </row>
    <row r="739" ht="14.25" customHeight="1">
      <c r="BG739" s="13"/>
      <c r="BH739" s="13"/>
    </row>
    <row r="740" ht="14.25" customHeight="1">
      <c r="BG740" s="13"/>
      <c r="BH740" s="13"/>
    </row>
    <row r="741" ht="14.25" customHeight="1">
      <c r="BG741" s="13"/>
      <c r="BH741" s="13"/>
    </row>
    <row r="742" ht="14.25" customHeight="1">
      <c r="BG742" s="13"/>
      <c r="BH742" s="13"/>
    </row>
    <row r="743" ht="14.25" customHeight="1">
      <c r="BG743" s="13"/>
      <c r="BH743" s="13"/>
    </row>
    <row r="744" ht="14.25" customHeight="1">
      <c r="BG744" s="13"/>
      <c r="BH744" s="13"/>
    </row>
    <row r="745" ht="14.25" customHeight="1">
      <c r="BG745" s="13"/>
      <c r="BH745" s="13"/>
    </row>
    <row r="746" ht="14.25" customHeight="1">
      <c r="BG746" s="13"/>
      <c r="BH746" s="13"/>
    </row>
    <row r="747" ht="14.25" customHeight="1">
      <c r="BG747" s="13"/>
      <c r="BH747" s="13"/>
    </row>
    <row r="748" ht="14.25" customHeight="1">
      <c r="BG748" s="13"/>
      <c r="BH748" s="13"/>
    </row>
    <row r="749" ht="14.25" customHeight="1">
      <c r="BG749" s="13"/>
      <c r="BH749" s="13"/>
    </row>
    <row r="750" ht="14.25" customHeight="1">
      <c r="BG750" s="13"/>
      <c r="BH750" s="13"/>
    </row>
    <row r="751" ht="14.25" customHeight="1">
      <c r="BG751" s="13"/>
      <c r="BH751" s="13"/>
    </row>
    <row r="752" ht="14.25" customHeight="1">
      <c r="BG752" s="13"/>
      <c r="BH752" s="13"/>
    </row>
    <row r="753" ht="14.25" customHeight="1">
      <c r="BG753" s="13"/>
      <c r="BH753" s="13"/>
    </row>
    <row r="754" ht="14.25" customHeight="1">
      <c r="BG754" s="13"/>
      <c r="BH754" s="13"/>
    </row>
    <row r="755" ht="14.25" customHeight="1">
      <c r="BG755" s="13"/>
      <c r="BH755" s="13"/>
    </row>
    <row r="756" ht="14.25" customHeight="1">
      <c r="BG756" s="13"/>
      <c r="BH756" s="13"/>
    </row>
    <row r="757" ht="14.25" customHeight="1">
      <c r="BG757" s="13"/>
      <c r="BH757" s="13"/>
    </row>
    <row r="758" ht="14.25" customHeight="1">
      <c r="BG758" s="13"/>
      <c r="BH758" s="13"/>
    </row>
    <row r="759" ht="14.25" customHeight="1">
      <c r="BG759" s="13"/>
      <c r="BH759" s="13"/>
    </row>
    <row r="760" ht="14.25" customHeight="1">
      <c r="BG760" s="13"/>
      <c r="BH760" s="13"/>
    </row>
    <row r="761" ht="14.25" customHeight="1">
      <c r="BG761" s="13"/>
      <c r="BH761" s="13"/>
    </row>
    <row r="762" ht="14.25" customHeight="1">
      <c r="BG762" s="13"/>
      <c r="BH762" s="13"/>
    </row>
    <row r="763" ht="14.25" customHeight="1">
      <c r="BG763" s="13"/>
      <c r="BH763" s="13"/>
    </row>
    <row r="764" ht="14.25" customHeight="1">
      <c r="BG764" s="13"/>
      <c r="BH764" s="13"/>
    </row>
    <row r="765" ht="14.25" customHeight="1">
      <c r="BG765" s="13"/>
      <c r="BH765" s="13"/>
    </row>
    <row r="766" ht="14.25" customHeight="1">
      <c r="BG766" s="13"/>
      <c r="BH766" s="13"/>
    </row>
    <row r="767" ht="14.25" customHeight="1">
      <c r="BG767" s="13"/>
      <c r="BH767" s="13"/>
    </row>
    <row r="768" ht="14.25" customHeight="1">
      <c r="BG768" s="13"/>
      <c r="BH768" s="13"/>
    </row>
    <row r="769" ht="14.25" customHeight="1">
      <c r="BG769" s="13"/>
      <c r="BH769" s="13"/>
    </row>
    <row r="770" ht="14.25" customHeight="1">
      <c r="BG770" s="13"/>
      <c r="BH770" s="13"/>
    </row>
    <row r="771" ht="14.25" customHeight="1">
      <c r="BG771" s="13"/>
      <c r="BH771" s="13"/>
    </row>
    <row r="772" ht="14.25" customHeight="1">
      <c r="BG772" s="13"/>
      <c r="BH772" s="13"/>
    </row>
    <row r="773" ht="14.25" customHeight="1">
      <c r="BG773" s="13"/>
      <c r="BH773" s="13"/>
    </row>
    <row r="774" ht="14.25" customHeight="1">
      <c r="BG774" s="13"/>
      <c r="BH774" s="13"/>
    </row>
    <row r="775" ht="14.25" customHeight="1">
      <c r="BG775" s="13"/>
      <c r="BH775" s="13"/>
    </row>
    <row r="776" ht="14.25" customHeight="1">
      <c r="BG776" s="13"/>
      <c r="BH776" s="13"/>
    </row>
    <row r="777" ht="14.25" customHeight="1">
      <c r="BG777" s="13"/>
      <c r="BH777" s="13"/>
    </row>
    <row r="778" ht="14.25" customHeight="1">
      <c r="BG778" s="13"/>
      <c r="BH778" s="13"/>
    </row>
    <row r="779" ht="14.25" customHeight="1">
      <c r="BG779" s="13"/>
      <c r="BH779" s="13"/>
    </row>
    <row r="780" ht="14.25" customHeight="1">
      <c r="BG780" s="13"/>
      <c r="BH780" s="13"/>
    </row>
    <row r="781" ht="14.25" customHeight="1">
      <c r="BG781" s="13"/>
      <c r="BH781" s="13"/>
    </row>
    <row r="782" ht="14.25" customHeight="1">
      <c r="BG782" s="13"/>
      <c r="BH782" s="13"/>
    </row>
    <row r="783" ht="14.25" customHeight="1">
      <c r="BG783" s="13"/>
      <c r="BH783" s="13"/>
    </row>
    <row r="784" ht="14.25" customHeight="1">
      <c r="BG784" s="13"/>
      <c r="BH784" s="13"/>
    </row>
    <row r="785" ht="14.25" customHeight="1">
      <c r="BG785" s="13"/>
      <c r="BH785" s="13"/>
    </row>
    <row r="786" ht="14.25" customHeight="1">
      <c r="BG786" s="13"/>
      <c r="BH786" s="13"/>
    </row>
    <row r="787" ht="14.25" customHeight="1">
      <c r="BG787" s="13"/>
      <c r="BH787" s="13"/>
    </row>
    <row r="788" ht="14.25" customHeight="1">
      <c r="BG788" s="13"/>
      <c r="BH788" s="13"/>
    </row>
    <row r="789" ht="14.25" customHeight="1">
      <c r="BG789" s="13"/>
      <c r="BH789" s="13"/>
    </row>
    <row r="790" ht="14.25" customHeight="1">
      <c r="BG790" s="13"/>
      <c r="BH790" s="13"/>
    </row>
    <row r="791" ht="14.25" customHeight="1">
      <c r="BG791" s="13"/>
      <c r="BH791" s="13"/>
    </row>
    <row r="792" ht="14.25" customHeight="1">
      <c r="BG792" s="13"/>
      <c r="BH792" s="13"/>
    </row>
    <row r="793" ht="14.25" customHeight="1">
      <c r="BG793" s="13"/>
      <c r="BH793" s="13"/>
    </row>
    <row r="794" ht="14.25" customHeight="1">
      <c r="BG794" s="13"/>
      <c r="BH794" s="13"/>
    </row>
    <row r="795" ht="14.25" customHeight="1">
      <c r="BG795" s="13"/>
      <c r="BH795" s="13"/>
    </row>
    <row r="796" ht="14.25" customHeight="1">
      <c r="BG796" s="13"/>
      <c r="BH796" s="13"/>
    </row>
    <row r="797" ht="14.25" customHeight="1">
      <c r="BG797" s="13"/>
      <c r="BH797" s="13"/>
    </row>
    <row r="798" ht="14.25" customHeight="1">
      <c r="BG798" s="13"/>
      <c r="BH798" s="13"/>
    </row>
    <row r="799" ht="14.25" customHeight="1">
      <c r="BG799" s="13"/>
      <c r="BH799" s="13"/>
    </row>
    <row r="800" ht="14.25" customHeight="1">
      <c r="BG800" s="13"/>
      <c r="BH800" s="13"/>
    </row>
    <row r="801" ht="14.25" customHeight="1">
      <c r="BG801" s="13"/>
      <c r="BH801" s="13"/>
    </row>
    <row r="802" ht="14.25" customHeight="1">
      <c r="BG802" s="13"/>
      <c r="BH802" s="13"/>
    </row>
    <row r="803" ht="14.25" customHeight="1">
      <c r="BG803" s="13"/>
      <c r="BH803" s="13"/>
    </row>
    <row r="804" ht="14.25" customHeight="1">
      <c r="BG804" s="13"/>
      <c r="BH804" s="13"/>
    </row>
    <row r="805" ht="14.25" customHeight="1">
      <c r="BG805" s="13"/>
      <c r="BH805" s="13"/>
    </row>
    <row r="806" ht="14.25" customHeight="1">
      <c r="BG806" s="13"/>
      <c r="BH806" s="13"/>
    </row>
    <row r="807" ht="14.25" customHeight="1">
      <c r="BG807" s="13"/>
      <c r="BH807" s="13"/>
    </row>
    <row r="808" ht="14.25" customHeight="1">
      <c r="BG808" s="13"/>
      <c r="BH808" s="13"/>
    </row>
    <row r="809" ht="14.25" customHeight="1">
      <c r="BG809" s="13"/>
      <c r="BH809" s="13"/>
    </row>
    <row r="810" ht="14.25" customHeight="1">
      <c r="BG810" s="13"/>
      <c r="BH810" s="13"/>
    </row>
    <row r="811" ht="14.25" customHeight="1">
      <c r="BG811" s="13"/>
      <c r="BH811" s="13"/>
    </row>
    <row r="812" ht="14.25" customHeight="1">
      <c r="BG812" s="13"/>
      <c r="BH812" s="13"/>
    </row>
    <row r="813" ht="14.25" customHeight="1">
      <c r="BG813" s="13"/>
      <c r="BH813" s="13"/>
    </row>
    <row r="814" ht="14.25" customHeight="1">
      <c r="BG814" s="13"/>
      <c r="BH814" s="13"/>
    </row>
    <row r="815" ht="14.25" customHeight="1">
      <c r="BG815" s="13"/>
      <c r="BH815" s="13"/>
    </row>
    <row r="816" ht="14.25" customHeight="1">
      <c r="BG816" s="13"/>
      <c r="BH816" s="13"/>
    </row>
    <row r="817" ht="14.25" customHeight="1">
      <c r="BG817" s="13"/>
      <c r="BH817" s="13"/>
    </row>
    <row r="818" ht="14.25" customHeight="1">
      <c r="BG818" s="13"/>
      <c r="BH818" s="13"/>
    </row>
    <row r="819" ht="14.25" customHeight="1">
      <c r="BG819" s="13"/>
      <c r="BH819" s="13"/>
    </row>
    <row r="820" ht="14.25" customHeight="1">
      <c r="BG820" s="13"/>
      <c r="BH820" s="13"/>
    </row>
    <row r="821" ht="14.25" customHeight="1">
      <c r="BG821" s="13"/>
      <c r="BH821" s="13"/>
    </row>
    <row r="822" ht="14.25" customHeight="1">
      <c r="BG822" s="13"/>
      <c r="BH822" s="13"/>
    </row>
    <row r="823" ht="14.25" customHeight="1">
      <c r="BG823" s="13"/>
      <c r="BH823" s="13"/>
    </row>
    <row r="824" ht="14.25" customHeight="1">
      <c r="BG824" s="13"/>
      <c r="BH824" s="13"/>
    </row>
    <row r="825" ht="14.25" customHeight="1">
      <c r="BG825" s="13"/>
      <c r="BH825" s="13"/>
    </row>
    <row r="826" ht="14.25" customHeight="1">
      <c r="BG826" s="13"/>
      <c r="BH826" s="13"/>
    </row>
    <row r="827" ht="14.25" customHeight="1">
      <c r="BG827" s="13"/>
      <c r="BH827" s="13"/>
    </row>
    <row r="828" ht="14.25" customHeight="1">
      <c r="BG828" s="13"/>
      <c r="BH828" s="13"/>
    </row>
    <row r="829" ht="14.25" customHeight="1">
      <c r="BG829" s="13"/>
      <c r="BH829" s="13"/>
    </row>
    <row r="830" ht="14.25" customHeight="1">
      <c r="BG830" s="13"/>
      <c r="BH830" s="13"/>
    </row>
    <row r="831" ht="14.25" customHeight="1">
      <c r="BG831" s="13"/>
      <c r="BH831" s="13"/>
    </row>
    <row r="832" ht="14.25" customHeight="1">
      <c r="BG832" s="13"/>
      <c r="BH832" s="13"/>
    </row>
    <row r="833" ht="14.25" customHeight="1">
      <c r="BG833" s="13"/>
      <c r="BH833" s="13"/>
    </row>
    <row r="834" ht="14.25" customHeight="1">
      <c r="BG834" s="13"/>
      <c r="BH834" s="13"/>
    </row>
    <row r="835" ht="14.25" customHeight="1">
      <c r="BG835" s="13"/>
      <c r="BH835" s="13"/>
    </row>
    <row r="836" ht="14.25" customHeight="1">
      <c r="BG836" s="13"/>
      <c r="BH836" s="13"/>
    </row>
    <row r="837" ht="14.25" customHeight="1">
      <c r="BG837" s="13"/>
      <c r="BH837" s="13"/>
    </row>
    <row r="838" ht="14.25" customHeight="1">
      <c r="BG838" s="13"/>
      <c r="BH838" s="13"/>
    </row>
    <row r="839" ht="14.25" customHeight="1">
      <c r="BG839" s="13"/>
      <c r="BH839" s="13"/>
    </row>
    <row r="840" ht="14.25" customHeight="1">
      <c r="BG840" s="13"/>
      <c r="BH840" s="13"/>
    </row>
    <row r="841" ht="14.25" customHeight="1">
      <c r="BG841" s="13"/>
      <c r="BH841" s="13"/>
    </row>
    <row r="842" ht="14.25" customHeight="1">
      <c r="BG842" s="13"/>
      <c r="BH842" s="13"/>
    </row>
    <row r="843" ht="14.25" customHeight="1">
      <c r="BG843" s="13"/>
      <c r="BH843" s="13"/>
    </row>
    <row r="844" ht="14.25" customHeight="1">
      <c r="BG844" s="13"/>
      <c r="BH844" s="13"/>
    </row>
    <row r="845" ht="14.25" customHeight="1">
      <c r="BG845" s="13"/>
      <c r="BH845" s="13"/>
    </row>
    <row r="846" ht="14.25" customHeight="1">
      <c r="BG846" s="13"/>
      <c r="BH846" s="13"/>
    </row>
    <row r="847" ht="14.25" customHeight="1">
      <c r="BG847" s="13"/>
      <c r="BH847" s="13"/>
    </row>
    <row r="848" ht="14.25" customHeight="1">
      <c r="BG848" s="13"/>
      <c r="BH848" s="13"/>
    </row>
    <row r="849" ht="14.25" customHeight="1">
      <c r="BG849" s="13"/>
      <c r="BH849" s="13"/>
    </row>
    <row r="850" ht="14.25" customHeight="1">
      <c r="BG850" s="13"/>
      <c r="BH850" s="13"/>
    </row>
    <row r="851" ht="14.25" customHeight="1">
      <c r="BG851" s="13"/>
      <c r="BH851" s="13"/>
    </row>
    <row r="852" ht="14.25" customHeight="1">
      <c r="BG852" s="13"/>
      <c r="BH852" s="13"/>
    </row>
    <row r="853" ht="14.25" customHeight="1">
      <c r="BG853" s="13"/>
      <c r="BH853" s="13"/>
    </row>
    <row r="854" ht="14.25" customHeight="1">
      <c r="BG854" s="13"/>
      <c r="BH854" s="13"/>
    </row>
    <row r="855" ht="14.25" customHeight="1">
      <c r="BG855" s="13"/>
      <c r="BH855" s="13"/>
    </row>
    <row r="856" ht="14.25" customHeight="1">
      <c r="BG856" s="13"/>
      <c r="BH856" s="13"/>
    </row>
    <row r="857" ht="14.25" customHeight="1">
      <c r="BG857" s="13"/>
      <c r="BH857" s="13"/>
    </row>
    <row r="858" ht="14.25" customHeight="1">
      <c r="BG858" s="13"/>
      <c r="BH858" s="13"/>
    </row>
    <row r="859" ht="14.25" customHeight="1">
      <c r="BG859" s="13"/>
      <c r="BH859" s="13"/>
    </row>
    <row r="860" ht="14.25" customHeight="1">
      <c r="BG860" s="13"/>
      <c r="BH860" s="13"/>
    </row>
    <row r="861" ht="14.25" customHeight="1">
      <c r="BG861" s="13"/>
      <c r="BH861" s="13"/>
    </row>
    <row r="862" ht="14.25" customHeight="1">
      <c r="BG862" s="13"/>
      <c r="BH862" s="13"/>
    </row>
    <row r="863" ht="14.25" customHeight="1">
      <c r="BG863" s="13"/>
      <c r="BH863" s="13"/>
    </row>
    <row r="864" ht="14.25" customHeight="1">
      <c r="BG864" s="13"/>
      <c r="BH864" s="13"/>
    </row>
    <row r="865" ht="14.25" customHeight="1">
      <c r="BG865" s="13"/>
      <c r="BH865" s="13"/>
    </row>
    <row r="866" ht="14.25" customHeight="1">
      <c r="BG866" s="13"/>
      <c r="BH866" s="13"/>
    </row>
    <row r="867" ht="14.25" customHeight="1">
      <c r="BG867" s="13"/>
      <c r="BH867" s="13"/>
    </row>
    <row r="868" ht="14.25" customHeight="1">
      <c r="BG868" s="13"/>
      <c r="BH868" s="13"/>
    </row>
    <row r="869" ht="14.25" customHeight="1">
      <c r="BG869" s="13"/>
      <c r="BH869" s="13"/>
    </row>
    <row r="870" ht="14.25" customHeight="1">
      <c r="BG870" s="13"/>
      <c r="BH870" s="13"/>
    </row>
    <row r="871" ht="14.25" customHeight="1">
      <c r="BG871" s="13"/>
      <c r="BH871" s="13"/>
    </row>
    <row r="872" ht="14.25" customHeight="1">
      <c r="BG872" s="13"/>
      <c r="BH872" s="13"/>
    </row>
    <row r="873" ht="14.25" customHeight="1">
      <c r="BG873" s="13"/>
      <c r="BH873" s="13"/>
    </row>
    <row r="874" ht="14.25" customHeight="1">
      <c r="BG874" s="13"/>
      <c r="BH874" s="13"/>
    </row>
    <row r="875" ht="14.25" customHeight="1">
      <c r="BG875" s="13"/>
      <c r="BH875" s="13"/>
    </row>
    <row r="876" ht="14.25" customHeight="1">
      <c r="BG876" s="13"/>
      <c r="BH876" s="13"/>
    </row>
    <row r="877" ht="14.25" customHeight="1">
      <c r="BG877" s="13"/>
      <c r="BH877" s="13"/>
    </row>
    <row r="878" ht="14.25" customHeight="1">
      <c r="BG878" s="13"/>
      <c r="BH878" s="13"/>
    </row>
    <row r="879" ht="14.25" customHeight="1">
      <c r="BG879" s="13"/>
      <c r="BH879" s="13"/>
    </row>
    <row r="880" ht="14.25" customHeight="1">
      <c r="BG880" s="13"/>
      <c r="BH880" s="13"/>
    </row>
    <row r="881" ht="14.25" customHeight="1">
      <c r="BG881" s="13"/>
      <c r="BH881" s="13"/>
    </row>
    <row r="882" ht="14.25" customHeight="1">
      <c r="BG882" s="13"/>
      <c r="BH882" s="13"/>
    </row>
    <row r="883" ht="14.25" customHeight="1">
      <c r="BG883" s="13"/>
      <c r="BH883" s="13"/>
    </row>
    <row r="884" ht="14.25" customHeight="1">
      <c r="BG884" s="13"/>
      <c r="BH884" s="13"/>
    </row>
    <row r="885" ht="14.25" customHeight="1">
      <c r="BG885" s="13"/>
      <c r="BH885" s="13"/>
    </row>
    <row r="886" ht="14.25" customHeight="1">
      <c r="BG886" s="13"/>
      <c r="BH886" s="13"/>
    </row>
    <row r="887" ht="14.25" customHeight="1">
      <c r="BG887" s="13"/>
      <c r="BH887" s="13"/>
    </row>
    <row r="888" ht="14.25" customHeight="1">
      <c r="BG888" s="13"/>
      <c r="BH888" s="13"/>
    </row>
    <row r="889" ht="14.25" customHeight="1">
      <c r="BG889" s="13"/>
      <c r="BH889" s="13"/>
    </row>
    <row r="890" ht="14.25" customHeight="1">
      <c r="BG890" s="13"/>
      <c r="BH890" s="13"/>
    </row>
    <row r="891" ht="14.25" customHeight="1">
      <c r="BG891" s="13"/>
      <c r="BH891" s="13"/>
    </row>
    <row r="892" ht="14.25" customHeight="1">
      <c r="BG892" s="13"/>
      <c r="BH892" s="13"/>
    </row>
    <row r="893" ht="14.25" customHeight="1">
      <c r="BG893" s="13"/>
      <c r="BH893" s="13"/>
    </row>
    <row r="894" ht="14.25" customHeight="1">
      <c r="BG894" s="13"/>
      <c r="BH894" s="13"/>
    </row>
    <row r="895" ht="14.25" customHeight="1">
      <c r="BG895" s="13"/>
      <c r="BH895" s="13"/>
    </row>
    <row r="896" ht="14.25" customHeight="1">
      <c r="BG896" s="13"/>
      <c r="BH896" s="13"/>
    </row>
    <row r="897" ht="14.25" customHeight="1">
      <c r="BG897" s="13"/>
      <c r="BH897" s="13"/>
    </row>
    <row r="898" ht="14.25" customHeight="1">
      <c r="BG898" s="13"/>
      <c r="BH898" s="13"/>
    </row>
    <row r="899" ht="14.25" customHeight="1">
      <c r="BG899" s="13"/>
      <c r="BH899" s="13"/>
    </row>
    <row r="900" ht="14.25" customHeight="1">
      <c r="BG900" s="13"/>
      <c r="BH900" s="13"/>
    </row>
    <row r="901" ht="14.25" customHeight="1">
      <c r="BG901" s="13"/>
      <c r="BH901" s="13"/>
    </row>
    <row r="902" ht="14.25" customHeight="1">
      <c r="BG902" s="13"/>
      <c r="BH902" s="13"/>
    </row>
    <row r="903" ht="14.25" customHeight="1">
      <c r="BG903" s="13"/>
      <c r="BH903" s="13"/>
    </row>
    <row r="904" ht="14.25" customHeight="1">
      <c r="BG904" s="13"/>
      <c r="BH904" s="13"/>
    </row>
    <row r="905" ht="14.25" customHeight="1">
      <c r="BG905" s="13"/>
      <c r="BH905" s="13"/>
    </row>
    <row r="906" ht="14.25" customHeight="1">
      <c r="BG906" s="13"/>
      <c r="BH906" s="13"/>
    </row>
    <row r="907" ht="14.25" customHeight="1">
      <c r="BG907" s="13"/>
      <c r="BH907" s="13"/>
    </row>
    <row r="908" ht="14.25" customHeight="1">
      <c r="BG908" s="13"/>
      <c r="BH908" s="13"/>
    </row>
    <row r="909" ht="14.25" customHeight="1">
      <c r="BG909" s="13"/>
      <c r="BH909" s="13"/>
    </row>
    <row r="910" ht="14.25" customHeight="1">
      <c r="BG910" s="13"/>
      <c r="BH910" s="13"/>
    </row>
    <row r="911" ht="14.25" customHeight="1">
      <c r="BG911" s="13"/>
      <c r="BH911" s="13"/>
    </row>
    <row r="912" ht="14.25" customHeight="1">
      <c r="BG912" s="13"/>
      <c r="BH912" s="13"/>
    </row>
    <row r="913" ht="14.25" customHeight="1">
      <c r="BG913" s="13"/>
      <c r="BH913" s="13"/>
    </row>
    <row r="914" ht="14.25" customHeight="1">
      <c r="BG914" s="13"/>
      <c r="BH914" s="13"/>
    </row>
    <row r="915" ht="14.25" customHeight="1">
      <c r="BG915" s="13"/>
      <c r="BH915" s="13"/>
    </row>
    <row r="916" ht="14.25" customHeight="1">
      <c r="BG916" s="13"/>
      <c r="BH916" s="13"/>
    </row>
    <row r="917" ht="14.25" customHeight="1">
      <c r="BG917" s="13"/>
      <c r="BH917" s="13"/>
    </row>
    <row r="918" ht="14.25" customHeight="1">
      <c r="BG918" s="13"/>
      <c r="BH918" s="13"/>
    </row>
    <row r="919" ht="14.25" customHeight="1">
      <c r="BG919" s="13"/>
      <c r="BH919" s="13"/>
    </row>
    <row r="920" ht="14.25" customHeight="1">
      <c r="BG920" s="13"/>
      <c r="BH920" s="13"/>
    </row>
    <row r="921" ht="14.25" customHeight="1">
      <c r="BG921" s="13"/>
      <c r="BH921" s="13"/>
    </row>
    <row r="922" ht="14.25" customHeight="1">
      <c r="BG922" s="13"/>
      <c r="BH922" s="13"/>
    </row>
    <row r="923" ht="14.25" customHeight="1">
      <c r="BG923" s="13"/>
      <c r="BH923" s="13"/>
    </row>
    <row r="924" ht="14.25" customHeight="1">
      <c r="BG924" s="13"/>
      <c r="BH924" s="13"/>
    </row>
    <row r="925" ht="14.25" customHeight="1">
      <c r="BG925" s="13"/>
      <c r="BH925" s="13"/>
    </row>
    <row r="926" ht="14.25" customHeight="1">
      <c r="BG926" s="13"/>
      <c r="BH926" s="13"/>
    </row>
    <row r="927" ht="14.25" customHeight="1">
      <c r="BG927" s="13"/>
      <c r="BH927" s="13"/>
    </row>
    <row r="928" ht="14.25" customHeight="1">
      <c r="BG928" s="13"/>
      <c r="BH928" s="13"/>
    </row>
    <row r="929" ht="14.25" customHeight="1">
      <c r="BG929" s="13"/>
      <c r="BH929" s="13"/>
    </row>
    <row r="930" ht="14.25" customHeight="1">
      <c r="BG930" s="13"/>
      <c r="BH930" s="13"/>
    </row>
    <row r="931" ht="14.25" customHeight="1">
      <c r="BG931" s="13"/>
      <c r="BH931" s="13"/>
    </row>
    <row r="932" ht="14.25" customHeight="1">
      <c r="BG932" s="13"/>
      <c r="BH932" s="13"/>
    </row>
    <row r="933" ht="14.25" customHeight="1">
      <c r="BG933" s="13"/>
      <c r="BH933" s="13"/>
    </row>
    <row r="934" ht="14.25" customHeight="1">
      <c r="BG934" s="13"/>
      <c r="BH934" s="13"/>
    </row>
    <row r="935" ht="14.25" customHeight="1">
      <c r="BG935" s="13"/>
      <c r="BH935" s="13"/>
    </row>
    <row r="936" ht="14.25" customHeight="1">
      <c r="BG936" s="13"/>
      <c r="BH936" s="13"/>
    </row>
    <row r="937" ht="14.25" customHeight="1">
      <c r="BG937" s="13"/>
      <c r="BH937" s="13"/>
    </row>
    <row r="938" ht="14.25" customHeight="1">
      <c r="BG938" s="13"/>
      <c r="BH938" s="13"/>
    </row>
    <row r="939" ht="14.25" customHeight="1">
      <c r="BG939" s="13"/>
      <c r="BH939" s="13"/>
    </row>
    <row r="940" ht="14.25" customHeight="1">
      <c r="BG940" s="13"/>
      <c r="BH940" s="13"/>
    </row>
    <row r="941" ht="14.25" customHeight="1">
      <c r="BG941" s="13"/>
      <c r="BH941" s="13"/>
    </row>
    <row r="942" ht="14.25" customHeight="1">
      <c r="BG942" s="13"/>
      <c r="BH942" s="13"/>
    </row>
    <row r="943" ht="14.25" customHeight="1">
      <c r="BG943" s="13"/>
      <c r="BH943" s="13"/>
    </row>
    <row r="944" ht="14.25" customHeight="1">
      <c r="BG944" s="13"/>
      <c r="BH944" s="13"/>
    </row>
    <row r="945" ht="14.25" customHeight="1">
      <c r="BG945" s="13"/>
      <c r="BH945" s="13"/>
    </row>
    <row r="946" ht="14.25" customHeight="1">
      <c r="BG946" s="13"/>
      <c r="BH946" s="13"/>
    </row>
    <row r="947" ht="14.25" customHeight="1">
      <c r="BG947" s="13"/>
      <c r="BH947" s="13"/>
    </row>
    <row r="948" ht="14.25" customHeight="1">
      <c r="BG948" s="13"/>
      <c r="BH948" s="13"/>
    </row>
    <row r="949" ht="14.25" customHeight="1">
      <c r="BG949" s="13"/>
      <c r="BH949" s="13"/>
    </row>
    <row r="950" ht="14.25" customHeight="1">
      <c r="BG950" s="13"/>
      <c r="BH950" s="13"/>
    </row>
    <row r="951" ht="14.25" customHeight="1">
      <c r="BG951" s="13"/>
      <c r="BH951" s="13"/>
    </row>
    <row r="952" ht="14.25" customHeight="1">
      <c r="BG952" s="13"/>
      <c r="BH952" s="13"/>
    </row>
    <row r="953" ht="14.25" customHeight="1">
      <c r="BG953" s="13"/>
      <c r="BH953" s="13"/>
    </row>
    <row r="954" ht="14.25" customHeight="1">
      <c r="BG954" s="13"/>
      <c r="BH954" s="13"/>
    </row>
    <row r="955" ht="14.25" customHeight="1">
      <c r="BG955" s="13"/>
      <c r="BH955" s="13"/>
    </row>
    <row r="956" ht="14.25" customHeight="1">
      <c r="BG956" s="13"/>
      <c r="BH956" s="13"/>
    </row>
    <row r="957" ht="14.25" customHeight="1">
      <c r="BG957" s="13"/>
      <c r="BH957" s="13"/>
    </row>
    <row r="958" ht="14.25" customHeight="1">
      <c r="BG958" s="13"/>
      <c r="BH958" s="13"/>
    </row>
    <row r="959" ht="14.25" customHeight="1">
      <c r="BG959" s="13"/>
      <c r="BH959" s="13"/>
    </row>
    <row r="960" ht="14.25" customHeight="1">
      <c r="BG960" s="13"/>
      <c r="BH960" s="13"/>
    </row>
    <row r="961" ht="14.25" customHeight="1">
      <c r="BG961" s="13"/>
      <c r="BH961" s="13"/>
    </row>
    <row r="962" ht="14.25" customHeight="1">
      <c r="BG962" s="13"/>
      <c r="BH962" s="13"/>
    </row>
    <row r="963" ht="14.25" customHeight="1">
      <c r="BG963" s="13"/>
      <c r="BH963" s="13"/>
    </row>
    <row r="964" ht="14.25" customHeight="1">
      <c r="BG964" s="13"/>
      <c r="BH964" s="13"/>
    </row>
    <row r="965" ht="14.25" customHeight="1">
      <c r="BG965" s="13"/>
      <c r="BH965" s="13"/>
    </row>
    <row r="966" ht="14.25" customHeight="1">
      <c r="BG966" s="13"/>
      <c r="BH966" s="13"/>
    </row>
    <row r="967" ht="14.25" customHeight="1">
      <c r="BG967" s="13"/>
      <c r="BH967" s="13"/>
    </row>
    <row r="968" ht="14.25" customHeight="1">
      <c r="BG968" s="13"/>
      <c r="BH968" s="13"/>
    </row>
    <row r="969" ht="14.25" customHeight="1">
      <c r="BG969" s="13"/>
      <c r="BH969" s="13"/>
    </row>
    <row r="970" ht="14.25" customHeight="1">
      <c r="BG970" s="13"/>
      <c r="BH970" s="13"/>
    </row>
    <row r="971" ht="14.25" customHeight="1">
      <c r="BG971" s="13"/>
      <c r="BH971" s="13"/>
    </row>
    <row r="972" ht="14.25" customHeight="1">
      <c r="BG972" s="13"/>
      <c r="BH972" s="13"/>
    </row>
    <row r="973" ht="14.25" customHeight="1">
      <c r="BG973" s="13"/>
      <c r="BH973" s="13"/>
    </row>
    <row r="974" ht="14.25" customHeight="1">
      <c r="BG974" s="13"/>
      <c r="BH974" s="13"/>
    </row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  <hyperlink r:id="rId31" ref="I8"/>
    <hyperlink r:id="rId32" ref="V8"/>
    <hyperlink r:id="rId33" ref="X8"/>
    <hyperlink r:id="rId34" ref="BD8"/>
    <hyperlink r:id="rId35" ref="BI8"/>
    <hyperlink r:id="rId36" ref="I9"/>
    <hyperlink r:id="rId37" ref="V9"/>
    <hyperlink r:id="rId38" ref="X9"/>
    <hyperlink r:id="rId39" ref="BD9"/>
    <hyperlink r:id="rId40" ref="BI9"/>
    <hyperlink r:id="rId41" ref="I10"/>
    <hyperlink r:id="rId42" ref="V10"/>
    <hyperlink r:id="rId43" ref="X10"/>
    <hyperlink r:id="rId44" ref="BD10"/>
    <hyperlink r:id="rId45" ref="BI10"/>
    <hyperlink r:id="rId46" ref="I11"/>
    <hyperlink r:id="rId47" ref="V11"/>
    <hyperlink r:id="rId48" ref="X11"/>
    <hyperlink r:id="rId49" ref="BD11"/>
    <hyperlink r:id="rId50" ref="BI11"/>
    <hyperlink r:id="rId51" ref="I12"/>
    <hyperlink r:id="rId52" ref="V12"/>
    <hyperlink r:id="rId53" ref="X12"/>
    <hyperlink r:id="rId54" ref="BD12"/>
    <hyperlink r:id="rId55" ref="BI12"/>
    <hyperlink r:id="rId56" ref="I13"/>
    <hyperlink r:id="rId57" ref="V13"/>
    <hyperlink r:id="rId58" ref="X13"/>
    <hyperlink r:id="rId59" ref="BD13"/>
    <hyperlink r:id="rId60" ref="BI13"/>
  </hyperlinks>
  <printOptions/>
  <pageMargins bottom="0.75" footer="0.0" header="0.0" left="0.7" right="0.7" top="0.75"/>
  <pageSetup orientation="landscape"/>
  <drawing r:id="rId6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5"/>
    <col customWidth="1" min="2" max="4" width="13.38"/>
    <col customWidth="1" min="5" max="5" width="12.88"/>
    <col customWidth="1" min="6" max="6" width="12.0"/>
    <col customWidth="1" min="7" max="9" width="14.25"/>
    <col customWidth="1" min="10" max="10" width="17.0"/>
    <col customWidth="1" min="11" max="11" width="23.88"/>
    <col customWidth="1" min="12" max="12" width="48.63"/>
    <col customWidth="1" min="13" max="13" width="19.38"/>
    <col customWidth="1" min="14" max="14" width="17.0"/>
    <col customWidth="1" min="15" max="15" width="13.75"/>
    <col customWidth="1" min="16" max="16" width="14.75"/>
    <col customWidth="1" min="17" max="17" width="14.0"/>
    <col customWidth="1" min="18" max="19" width="13.13"/>
    <col customWidth="1" min="20" max="20" width="17.0"/>
    <col customWidth="1" min="21" max="21" width="14.38"/>
    <col customWidth="1" min="22" max="26" width="8.63"/>
    <col customWidth="1" min="27" max="27" width="15.5"/>
    <col customWidth="1" min="28" max="28" width="8.63"/>
    <col customWidth="1" min="29" max="29" width="15.0"/>
    <col customWidth="1" min="30" max="30" width="14.5"/>
    <col customWidth="1" min="31" max="31" width="17.0"/>
    <col customWidth="1" min="32" max="33" width="10.38"/>
    <col customWidth="1" min="34" max="34" width="17.38"/>
    <col customWidth="1" min="35" max="35" width="10.38"/>
    <col customWidth="1" min="36" max="36" width="13.13"/>
    <col customWidth="1" min="37" max="38" width="10.38"/>
    <col customWidth="1" min="39" max="41" width="14.5"/>
    <col customWidth="1" min="42" max="42" width="11.38"/>
    <col customWidth="1" min="43" max="43" width="10.13"/>
    <col customWidth="1" min="44" max="44" width="9.13"/>
    <col customWidth="1" min="45" max="46" width="14.38"/>
    <col customWidth="1" min="47" max="55" width="14.25"/>
    <col customWidth="1" min="56" max="56" width="9.13"/>
    <col customWidth="1" min="57" max="57" width="9.75"/>
    <col customWidth="1" min="58" max="60" width="14.63"/>
    <col customWidth="1" min="61" max="61" width="57.38"/>
    <col customWidth="1" min="62" max="62" width="10.0"/>
    <col customWidth="1" min="63" max="64" width="10.13"/>
    <col customWidth="1" min="65" max="65" width="9.25"/>
    <col customWidth="1" min="66" max="66" width="8.63"/>
    <col customWidth="1" min="67" max="69" width="11.0"/>
    <col customWidth="1" min="70" max="70" width="11.88"/>
    <col customWidth="1" min="71" max="72" width="10.63"/>
    <col customWidth="1" min="73" max="73" width="12.75"/>
    <col customWidth="1" min="74" max="74" width="11.38"/>
    <col customWidth="1" min="75" max="75" width="14.88"/>
    <col customWidth="1" min="76" max="76" width="15.0"/>
    <col customWidth="1" min="77" max="77" width="15.25"/>
    <col customWidth="1" min="78" max="78" width="18.25"/>
    <col customWidth="1" min="79" max="79" width="15.25"/>
    <col customWidth="1" min="80" max="80" width="10.88"/>
    <col customWidth="1" min="81" max="87" width="10.0"/>
    <col customWidth="1" min="88" max="89" width="10.63"/>
    <col customWidth="1" min="90" max="90" width="10.88"/>
  </cols>
  <sheetData>
    <row r="1" ht="54.0" customHeight="1">
      <c r="A1" s="155" t="s">
        <v>0</v>
      </c>
      <c r="B1" s="1" t="s">
        <v>182</v>
      </c>
      <c r="C1" s="35" t="s">
        <v>183</v>
      </c>
      <c r="D1" s="156" t="s">
        <v>184</v>
      </c>
      <c r="E1" s="1" t="s">
        <v>84</v>
      </c>
      <c r="F1" s="157" t="s">
        <v>85</v>
      </c>
      <c r="G1" s="158" t="s">
        <v>1</v>
      </c>
      <c r="H1" s="159" t="s">
        <v>2</v>
      </c>
      <c r="I1" s="160" t="s">
        <v>3</v>
      </c>
      <c r="J1" s="161" t="s">
        <v>4</v>
      </c>
      <c r="K1" s="36" t="s">
        <v>88</v>
      </c>
      <c r="L1" s="158" t="s">
        <v>5</v>
      </c>
      <c r="M1" s="2" t="s">
        <v>6</v>
      </c>
      <c r="N1" s="2" t="s">
        <v>7</v>
      </c>
      <c r="O1" s="159" t="s">
        <v>8</v>
      </c>
      <c r="P1" s="161" t="s">
        <v>9</v>
      </c>
      <c r="Q1" s="4" t="s">
        <v>10</v>
      </c>
      <c r="R1" s="4" t="s">
        <v>89</v>
      </c>
      <c r="S1" s="4" t="s">
        <v>90</v>
      </c>
      <c r="T1" s="4" t="s">
        <v>11</v>
      </c>
      <c r="U1" s="36" t="s">
        <v>12</v>
      </c>
      <c r="V1" s="158" t="s">
        <v>13</v>
      </c>
      <c r="W1" s="2" t="s">
        <v>14</v>
      </c>
      <c r="X1" s="2" t="s">
        <v>15</v>
      </c>
      <c r="Y1" s="2" t="s">
        <v>16</v>
      </c>
      <c r="Z1" s="2" t="s">
        <v>14</v>
      </c>
      <c r="AA1" s="159" t="s">
        <v>17</v>
      </c>
      <c r="AB1" s="161" t="s">
        <v>18</v>
      </c>
      <c r="AC1" s="4" t="s">
        <v>19</v>
      </c>
      <c r="AD1" s="4" t="s">
        <v>20</v>
      </c>
      <c r="AE1" s="4" t="s">
        <v>21</v>
      </c>
      <c r="AF1" s="36" t="s">
        <v>22</v>
      </c>
      <c r="AG1" s="2" t="s">
        <v>23</v>
      </c>
      <c r="AH1" s="161" t="s">
        <v>24</v>
      </c>
      <c r="AI1" s="4" t="s">
        <v>25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36" t="s">
        <v>31</v>
      </c>
      <c r="AP1" s="158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29</v>
      </c>
      <c r="BA1" s="2" t="s">
        <v>30</v>
      </c>
      <c r="BB1" s="159" t="s">
        <v>31</v>
      </c>
      <c r="BC1" s="161" t="s">
        <v>101</v>
      </c>
      <c r="BD1" s="4" t="s">
        <v>102</v>
      </c>
      <c r="BE1" s="4" t="s">
        <v>103</v>
      </c>
      <c r="BF1" s="4" t="s">
        <v>104</v>
      </c>
      <c r="BG1" s="37" t="s">
        <v>30</v>
      </c>
      <c r="BH1" s="162" t="s">
        <v>31</v>
      </c>
      <c r="BI1" s="163" t="s">
        <v>3</v>
      </c>
      <c r="BJ1" s="6" t="s">
        <v>32</v>
      </c>
      <c r="BK1" s="38" t="s">
        <v>33</v>
      </c>
      <c r="BL1" s="38" t="s">
        <v>105</v>
      </c>
      <c r="BM1" s="8" t="s">
        <v>34</v>
      </c>
      <c r="BN1" s="9" t="s">
        <v>35</v>
      </c>
      <c r="BO1" s="9" t="s">
        <v>36</v>
      </c>
      <c r="BP1" s="9" t="s">
        <v>37</v>
      </c>
      <c r="BQ1" s="9" t="s">
        <v>38</v>
      </c>
      <c r="BR1" s="9" t="s">
        <v>39</v>
      </c>
      <c r="BS1" s="9" t="s">
        <v>40</v>
      </c>
      <c r="BT1" s="9" t="s">
        <v>41</v>
      </c>
      <c r="BU1" s="9" t="s">
        <v>42</v>
      </c>
      <c r="BV1" s="9" t="s">
        <v>43</v>
      </c>
      <c r="BW1" s="10" t="s">
        <v>223</v>
      </c>
      <c r="BX1" s="10" t="s">
        <v>224</v>
      </c>
      <c r="BY1" s="10" t="s">
        <v>46</v>
      </c>
      <c r="BZ1" s="10" t="s">
        <v>47</v>
      </c>
      <c r="CA1" s="10" t="s">
        <v>48</v>
      </c>
      <c r="CB1" s="10" t="s">
        <v>225</v>
      </c>
      <c r="CC1" s="10" t="s">
        <v>226</v>
      </c>
      <c r="CD1" s="10" t="s">
        <v>51</v>
      </c>
      <c r="CE1" s="10" t="s">
        <v>247</v>
      </c>
      <c r="CF1" s="10" t="s">
        <v>108</v>
      </c>
      <c r="CG1" s="10" t="s">
        <v>54</v>
      </c>
      <c r="CH1" s="10" t="s">
        <v>227</v>
      </c>
      <c r="CI1" s="10" t="s">
        <v>110</v>
      </c>
      <c r="CJ1" s="10" t="s">
        <v>111</v>
      </c>
      <c r="CK1" s="10" t="s">
        <v>112</v>
      </c>
      <c r="CL1" s="10" t="s">
        <v>58</v>
      </c>
    </row>
    <row r="2" ht="14.25" customHeight="1">
      <c r="A2" s="164" t="s">
        <v>370</v>
      </c>
      <c r="B2" s="165"/>
      <c r="C2" s="24"/>
      <c r="D2" s="24"/>
      <c r="E2" s="166"/>
      <c r="F2" s="139"/>
      <c r="G2" s="167"/>
      <c r="H2" s="139"/>
      <c r="I2" s="168" t="s">
        <v>371</v>
      </c>
      <c r="J2" s="169" t="s">
        <v>188</v>
      </c>
      <c r="K2" s="139" t="s">
        <v>115</v>
      </c>
      <c r="L2" s="164" t="s">
        <v>370</v>
      </c>
      <c r="M2" s="13" t="s">
        <v>62</v>
      </c>
      <c r="N2" s="13" t="s">
        <v>63</v>
      </c>
      <c r="O2" s="170">
        <v>8000.0</v>
      </c>
      <c r="P2" s="171" t="s">
        <v>116</v>
      </c>
      <c r="Q2" s="43" t="s">
        <v>84</v>
      </c>
      <c r="R2" s="19">
        <v>100.0</v>
      </c>
      <c r="S2" s="44" t="s">
        <v>69</v>
      </c>
      <c r="T2" s="16" t="s">
        <v>66</v>
      </c>
      <c r="U2" s="172">
        <v>2.01</v>
      </c>
      <c r="V2" s="173" t="s">
        <v>67</v>
      </c>
      <c r="W2" s="19">
        <v>2024.0</v>
      </c>
      <c r="X2" s="20" t="s">
        <v>68</v>
      </c>
      <c r="Y2" s="19">
        <v>100.0</v>
      </c>
      <c r="Z2" s="19">
        <v>2024.0</v>
      </c>
      <c r="AA2" s="174">
        <v>83.07</v>
      </c>
      <c r="AB2" s="175">
        <v>25.0</v>
      </c>
      <c r="AC2" s="19">
        <v>2.5</v>
      </c>
      <c r="AD2" s="19">
        <v>6.0</v>
      </c>
      <c r="AE2" s="19">
        <v>7.8</v>
      </c>
      <c r="AF2" s="176">
        <v>0.0</v>
      </c>
      <c r="AG2" s="23" t="s">
        <v>69</v>
      </c>
      <c r="AH2" s="169" t="s">
        <v>70</v>
      </c>
      <c r="AI2" s="25">
        <v>2220.0</v>
      </c>
      <c r="AJ2" s="22" t="s">
        <v>71</v>
      </c>
      <c r="AK2" s="22">
        <v>335.4</v>
      </c>
      <c r="AL2" s="22">
        <v>10.7</v>
      </c>
      <c r="AM2" s="22">
        <v>0.0</v>
      </c>
      <c r="AN2" s="26" t="s">
        <v>72</v>
      </c>
      <c r="AO2" s="177">
        <v>0.0</v>
      </c>
      <c r="AP2" s="178">
        <v>495.0</v>
      </c>
      <c r="AQ2" s="179">
        <v>665.0</v>
      </c>
      <c r="AR2" s="179">
        <v>8066.0</v>
      </c>
      <c r="AS2" s="180">
        <v>50.0</v>
      </c>
      <c r="AT2" s="180">
        <v>50.0</v>
      </c>
      <c r="AU2" s="179">
        <f t="shared" ref="AU2:AW2" si="1">0.7*AP2</f>
        <v>346.5</v>
      </c>
      <c r="AV2" s="179">
        <f t="shared" si="1"/>
        <v>465.5</v>
      </c>
      <c r="AW2" s="179">
        <f t="shared" si="1"/>
        <v>5646.2</v>
      </c>
      <c r="AX2" s="181">
        <v>50.0</v>
      </c>
      <c r="AY2" s="181">
        <v>50.0</v>
      </c>
      <c r="AZ2" s="182">
        <v>0.0</v>
      </c>
      <c r="BA2" s="51" t="s">
        <v>72</v>
      </c>
      <c r="BB2" s="177">
        <v>0.0</v>
      </c>
      <c r="BC2" s="144">
        <v>0.0</v>
      </c>
      <c r="BD2" s="48" t="s">
        <v>168</v>
      </c>
      <c r="BE2" s="49">
        <v>1.0</v>
      </c>
      <c r="BF2" s="183">
        <v>10.0</v>
      </c>
      <c r="BG2" s="51" t="s">
        <v>72</v>
      </c>
      <c r="BH2" s="177">
        <v>0.0</v>
      </c>
      <c r="BI2" s="168" t="s">
        <v>372</v>
      </c>
      <c r="BJ2" s="133">
        <v>80.0</v>
      </c>
      <c r="BK2" s="134">
        <v>26.0</v>
      </c>
      <c r="BL2" s="184" t="s">
        <v>373</v>
      </c>
      <c r="BM2" s="144">
        <v>-879489.0</v>
      </c>
      <c r="BN2" s="137">
        <v>209753.0</v>
      </c>
      <c r="BO2" s="137">
        <v>258.0</v>
      </c>
      <c r="BP2" s="137">
        <v>209753.0</v>
      </c>
      <c r="BQ2" s="137">
        <v>33445.0</v>
      </c>
      <c r="BR2" s="137">
        <v>7131.0</v>
      </c>
      <c r="BS2" s="137">
        <v>21262.0</v>
      </c>
      <c r="BT2" s="137">
        <v>0.0</v>
      </c>
      <c r="BU2" s="137">
        <v>61838.0</v>
      </c>
      <c r="BV2" s="137">
        <v>6654.0</v>
      </c>
      <c r="BW2" s="241">
        <v>44197.0</v>
      </c>
      <c r="BX2" s="242">
        <v>209753.0</v>
      </c>
      <c r="BY2" s="243">
        <f t="shared" ref="BY2:BY13" si="3"> BX2-BW2</f>
        <v>165556</v>
      </c>
      <c r="BZ2" s="187">
        <v>0.24</v>
      </c>
      <c r="CA2" s="243">
        <v>1183.0</v>
      </c>
      <c r="CB2" s="189">
        <v>8394.0</v>
      </c>
      <c r="CC2" s="189">
        <v>34328.0</v>
      </c>
      <c r="CD2" s="189">
        <f t="shared" ref="CD2:CD13" si="4"> CC2-CB2</f>
        <v>25934</v>
      </c>
      <c r="CE2" s="189">
        <v>334284.0</v>
      </c>
      <c r="CF2" s="189">
        <v>1367129.0</v>
      </c>
      <c r="CG2" s="189">
        <f t="shared" ref="CG2:CG13" si="5"> CF2-CE2</f>
        <v>1032845</v>
      </c>
      <c r="CH2" s="189">
        <v>860764.0</v>
      </c>
      <c r="CI2" s="189">
        <v>1740253.0</v>
      </c>
      <c r="CJ2" s="189">
        <f t="shared" ref="CJ2:CJ13" si="6"> CI2-CH2</f>
        <v>879489</v>
      </c>
      <c r="CK2" s="189">
        <f t="shared" ref="CK2:CK13" si="7"> -CJ2</f>
        <v>-879489</v>
      </c>
      <c r="CL2" s="190">
        <v>0.0</v>
      </c>
    </row>
    <row r="3" ht="14.25" customHeight="1">
      <c r="A3" s="164" t="s">
        <v>374</v>
      </c>
      <c r="B3" s="165"/>
      <c r="C3" s="24"/>
      <c r="D3" s="24"/>
      <c r="E3" s="166"/>
      <c r="F3" s="139"/>
      <c r="G3" s="124"/>
      <c r="H3" s="191"/>
      <c r="I3" s="168" t="s">
        <v>375</v>
      </c>
      <c r="J3" s="169" t="s">
        <v>188</v>
      </c>
      <c r="K3" s="139" t="s">
        <v>115</v>
      </c>
      <c r="L3" s="164" t="s">
        <v>374</v>
      </c>
      <c r="M3" s="13" t="s">
        <v>62</v>
      </c>
      <c r="N3" s="13" t="s">
        <v>63</v>
      </c>
      <c r="O3" s="170">
        <v>8000.0</v>
      </c>
      <c r="P3" s="171" t="s">
        <v>116</v>
      </c>
      <c r="Q3" s="43" t="s">
        <v>84</v>
      </c>
      <c r="R3" s="19">
        <v>100.0</v>
      </c>
      <c r="S3" s="44" t="s">
        <v>69</v>
      </c>
      <c r="T3" s="16" t="s">
        <v>66</v>
      </c>
      <c r="U3" s="172">
        <v>2.01</v>
      </c>
      <c r="V3" s="173" t="s">
        <v>67</v>
      </c>
      <c r="W3" s="19">
        <v>2024.0</v>
      </c>
      <c r="X3" s="20" t="s">
        <v>68</v>
      </c>
      <c r="Y3" s="19">
        <v>100.0</v>
      </c>
      <c r="Z3" s="19">
        <v>2024.0</v>
      </c>
      <c r="AA3" s="174">
        <v>83.07</v>
      </c>
      <c r="AB3" s="175">
        <v>10.0</v>
      </c>
      <c r="AC3" s="19">
        <v>2.5</v>
      </c>
      <c r="AD3" s="19">
        <v>6.0</v>
      </c>
      <c r="AE3" s="19">
        <v>7.8</v>
      </c>
      <c r="AF3" s="176">
        <v>0.0</v>
      </c>
      <c r="AG3" s="23" t="s">
        <v>69</v>
      </c>
      <c r="AH3" s="169" t="s">
        <v>70</v>
      </c>
      <c r="AI3" s="25">
        <v>0.0</v>
      </c>
      <c r="AJ3" s="22" t="s">
        <v>71</v>
      </c>
      <c r="AK3" s="22">
        <v>335.4</v>
      </c>
      <c r="AL3" s="22">
        <v>10.7</v>
      </c>
      <c r="AM3" s="22">
        <v>0.0</v>
      </c>
      <c r="AN3" s="26" t="s">
        <v>72</v>
      </c>
      <c r="AO3" s="177">
        <v>0.0</v>
      </c>
      <c r="AP3" s="178">
        <v>0.0</v>
      </c>
      <c r="AQ3" s="179">
        <v>0.0</v>
      </c>
      <c r="AR3" s="179">
        <v>0.0</v>
      </c>
      <c r="AS3" s="180">
        <v>50.0</v>
      </c>
      <c r="AT3" s="180">
        <v>50.0</v>
      </c>
      <c r="AU3" s="179">
        <f t="shared" ref="AU3:AW3" si="2">0.7*AP3</f>
        <v>0</v>
      </c>
      <c r="AV3" s="179">
        <f t="shared" si="2"/>
        <v>0</v>
      </c>
      <c r="AW3" s="179">
        <f t="shared" si="2"/>
        <v>0</v>
      </c>
      <c r="AX3" s="181">
        <v>50.0</v>
      </c>
      <c r="AY3" s="181">
        <v>50.0</v>
      </c>
      <c r="AZ3" s="182">
        <v>0.0</v>
      </c>
      <c r="BA3" s="51" t="s">
        <v>72</v>
      </c>
      <c r="BB3" s="177">
        <v>0.0</v>
      </c>
      <c r="BC3" s="144">
        <v>0.0</v>
      </c>
      <c r="BD3" s="48" t="s">
        <v>168</v>
      </c>
      <c r="BE3" s="49">
        <v>1.0</v>
      </c>
      <c r="BF3" s="183">
        <v>10.0</v>
      </c>
      <c r="BG3" s="51" t="s">
        <v>72</v>
      </c>
      <c r="BH3" s="177">
        <v>0.0</v>
      </c>
      <c r="BI3" s="168" t="s">
        <v>376</v>
      </c>
      <c r="BJ3" s="140">
        <v>80.0</v>
      </c>
      <c r="BK3" s="141">
        <v>26.0</v>
      </c>
      <c r="BL3" s="143" t="s">
        <v>373</v>
      </c>
      <c r="BM3" s="144">
        <v>-133329.0</v>
      </c>
      <c r="BN3" s="137">
        <v>208561.0</v>
      </c>
      <c r="BO3" s="137">
        <v>257.0</v>
      </c>
      <c r="BP3" s="137">
        <v>208818.0</v>
      </c>
      <c r="BQ3" s="137">
        <v>34269.0</v>
      </c>
      <c r="BR3" s="137">
        <v>7254.0</v>
      </c>
      <c r="BS3" s="137">
        <v>23118.0</v>
      </c>
      <c r="BT3" s="137">
        <v>0.0</v>
      </c>
      <c r="BU3" s="137">
        <v>64641.0</v>
      </c>
      <c r="BV3" s="137">
        <v>6764.0</v>
      </c>
      <c r="BW3" s="138">
        <v>44197.0</v>
      </c>
      <c r="BX3" s="137">
        <v>208818.0</v>
      </c>
      <c r="BY3" s="31">
        <f t="shared" si="3"/>
        <v>164621</v>
      </c>
      <c r="BZ3" s="32">
        <v>0.26</v>
      </c>
      <c r="CA3" s="13">
        <v>469.0</v>
      </c>
      <c r="CB3" s="34">
        <v>8394.0</v>
      </c>
      <c r="CC3" s="34">
        <v>33900.0</v>
      </c>
      <c r="CD3" s="34">
        <f t="shared" si="4"/>
        <v>25506</v>
      </c>
      <c r="CE3" s="34">
        <v>101431.0</v>
      </c>
      <c r="CF3" s="34">
        <v>409659.0</v>
      </c>
      <c r="CG3" s="34">
        <f t="shared" si="5"/>
        <v>308228</v>
      </c>
      <c r="CH3" s="34">
        <v>297130.0</v>
      </c>
      <c r="CI3" s="34">
        <v>430459.0</v>
      </c>
      <c r="CJ3" s="34">
        <f t="shared" si="6"/>
        <v>133329</v>
      </c>
      <c r="CK3" s="34">
        <f t="shared" si="7"/>
        <v>-133329</v>
      </c>
      <c r="CL3" s="139">
        <v>0.0</v>
      </c>
    </row>
    <row r="4" ht="14.25" customHeight="1">
      <c r="A4" s="164" t="s">
        <v>377</v>
      </c>
      <c r="B4" s="165"/>
      <c r="C4" s="24"/>
      <c r="D4" s="24"/>
      <c r="E4" s="171"/>
      <c r="F4" s="192"/>
      <c r="G4" s="167"/>
      <c r="H4" s="139"/>
      <c r="I4" s="168" t="s">
        <v>378</v>
      </c>
      <c r="J4" s="169" t="s">
        <v>188</v>
      </c>
      <c r="K4" s="139" t="s">
        <v>115</v>
      </c>
      <c r="L4" s="164" t="s">
        <v>377</v>
      </c>
      <c r="M4" s="13" t="s">
        <v>62</v>
      </c>
      <c r="N4" s="13" t="s">
        <v>63</v>
      </c>
      <c r="O4" s="170">
        <v>8000.0</v>
      </c>
      <c r="P4" s="171" t="s">
        <v>116</v>
      </c>
      <c r="Q4" s="39" t="s">
        <v>85</v>
      </c>
      <c r="R4" s="74" t="s">
        <v>69</v>
      </c>
      <c r="S4" s="5">
        <v>0.06713</v>
      </c>
      <c r="T4" s="16" t="s">
        <v>66</v>
      </c>
      <c r="U4" s="172">
        <v>2.01</v>
      </c>
      <c r="V4" s="173" t="s">
        <v>67</v>
      </c>
      <c r="W4" s="19">
        <v>2024.0</v>
      </c>
      <c r="X4" s="20" t="s">
        <v>68</v>
      </c>
      <c r="Y4" s="19">
        <v>100.0</v>
      </c>
      <c r="Z4" s="19">
        <v>2024.0</v>
      </c>
      <c r="AA4" s="174">
        <v>83.07</v>
      </c>
      <c r="AB4" s="175">
        <v>25.0</v>
      </c>
      <c r="AC4" s="19">
        <v>2.5</v>
      </c>
      <c r="AD4" s="19">
        <v>6.0</v>
      </c>
      <c r="AE4" s="19">
        <v>7.8</v>
      </c>
      <c r="AF4" s="176">
        <v>0.0</v>
      </c>
      <c r="AG4" s="23" t="s">
        <v>69</v>
      </c>
      <c r="AH4" s="169" t="s">
        <v>70</v>
      </c>
      <c r="AI4" s="25">
        <v>2220.0</v>
      </c>
      <c r="AJ4" s="22" t="s">
        <v>71</v>
      </c>
      <c r="AK4" s="22">
        <v>335.4</v>
      </c>
      <c r="AL4" s="22">
        <v>10.7</v>
      </c>
      <c r="AM4" s="22">
        <v>0.0</v>
      </c>
      <c r="AN4" s="26" t="s">
        <v>72</v>
      </c>
      <c r="AO4" s="177">
        <v>0.0</v>
      </c>
      <c r="AP4" s="178">
        <v>495.0</v>
      </c>
      <c r="AQ4" s="179">
        <v>665.0</v>
      </c>
      <c r="AR4" s="179">
        <v>8066.0</v>
      </c>
      <c r="AS4" s="180">
        <v>50.0</v>
      </c>
      <c r="AT4" s="180">
        <v>50.0</v>
      </c>
      <c r="AU4" s="179">
        <f t="shared" ref="AU4:AW4" si="8">0.7*AP4</f>
        <v>346.5</v>
      </c>
      <c r="AV4" s="179">
        <f t="shared" si="8"/>
        <v>465.5</v>
      </c>
      <c r="AW4" s="179">
        <f t="shared" si="8"/>
        <v>5646.2</v>
      </c>
      <c r="AX4" s="181">
        <v>50.0</v>
      </c>
      <c r="AY4" s="181">
        <v>50.0</v>
      </c>
      <c r="AZ4" s="182">
        <v>0.0</v>
      </c>
      <c r="BA4" s="51" t="s">
        <v>72</v>
      </c>
      <c r="BB4" s="177">
        <v>0.0</v>
      </c>
      <c r="BC4" s="144">
        <v>0.0</v>
      </c>
      <c r="BD4" s="48" t="s">
        <v>168</v>
      </c>
      <c r="BE4" s="49">
        <v>1.0</v>
      </c>
      <c r="BF4" s="183">
        <v>10.0</v>
      </c>
      <c r="BG4" s="51" t="s">
        <v>72</v>
      </c>
      <c r="BH4" s="177">
        <v>0.0</v>
      </c>
      <c r="BI4" s="168" t="s">
        <v>379</v>
      </c>
      <c r="BJ4" s="142">
        <v>80.0</v>
      </c>
      <c r="BK4" s="141">
        <v>26.0</v>
      </c>
      <c r="BL4" s="143" t="s">
        <v>373</v>
      </c>
      <c r="BM4" s="144">
        <v>-948014.0</v>
      </c>
      <c r="BN4" s="145">
        <v>209286.0</v>
      </c>
      <c r="BO4" s="19">
        <v>222.0</v>
      </c>
      <c r="BP4" s="137">
        <v>209508.0</v>
      </c>
      <c r="BQ4" s="137">
        <v>33450.0</v>
      </c>
      <c r="BR4" s="137">
        <v>7393.0</v>
      </c>
      <c r="BS4" s="137">
        <v>20994.0</v>
      </c>
      <c r="BT4" s="19">
        <v>0.0</v>
      </c>
      <c r="BU4" s="137">
        <v>61838.0</v>
      </c>
      <c r="BV4" s="137">
        <v>6857.0</v>
      </c>
      <c r="BW4" s="138">
        <v>44197.0</v>
      </c>
      <c r="BX4" s="137">
        <v>209508.0</v>
      </c>
      <c r="BY4" s="31">
        <f t="shared" si="3"/>
        <v>165311</v>
      </c>
      <c r="BZ4" s="32">
        <v>0.24</v>
      </c>
      <c r="CA4" s="31">
        <v>1183.0</v>
      </c>
      <c r="CB4" s="34">
        <v>8394.0</v>
      </c>
      <c r="CC4" s="34">
        <v>36049.0</v>
      </c>
      <c r="CD4" s="34">
        <f t="shared" si="4"/>
        <v>27655</v>
      </c>
      <c r="CE4" s="33">
        <v>334284.0</v>
      </c>
      <c r="CF4" s="34">
        <v>1435654.0</v>
      </c>
      <c r="CG4" s="34">
        <f t="shared" si="5"/>
        <v>1101370</v>
      </c>
      <c r="CH4" s="34">
        <v>860764.0</v>
      </c>
      <c r="CI4" s="34">
        <v>1808778.0</v>
      </c>
      <c r="CJ4" s="34">
        <f t="shared" si="6"/>
        <v>948014</v>
      </c>
      <c r="CK4" s="34">
        <f t="shared" si="7"/>
        <v>-948014</v>
      </c>
      <c r="CL4" s="139">
        <v>0.0</v>
      </c>
    </row>
    <row r="5" ht="14.25" customHeight="1">
      <c r="A5" s="164" t="s">
        <v>380</v>
      </c>
      <c r="B5" s="165"/>
      <c r="C5" s="24"/>
      <c r="D5" s="24"/>
      <c r="E5" s="171"/>
      <c r="F5" s="192"/>
      <c r="G5" s="124"/>
      <c r="H5" s="191"/>
      <c r="I5" s="168" t="s">
        <v>381</v>
      </c>
      <c r="J5" s="169" t="s">
        <v>188</v>
      </c>
      <c r="K5" s="139" t="s">
        <v>115</v>
      </c>
      <c r="L5" s="164" t="s">
        <v>380</v>
      </c>
      <c r="M5" s="13" t="s">
        <v>62</v>
      </c>
      <c r="N5" s="13" t="s">
        <v>63</v>
      </c>
      <c r="O5" s="170">
        <v>8000.0</v>
      </c>
      <c r="P5" s="171" t="s">
        <v>116</v>
      </c>
      <c r="Q5" s="39" t="s">
        <v>85</v>
      </c>
      <c r="R5" s="74" t="s">
        <v>69</v>
      </c>
      <c r="S5" s="5">
        <v>0.06713</v>
      </c>
      <c r="T5" s="16" t="s">
        <v>66</v>
      </c>
      <c r="U5" s="172">
        <v>2.01</v>
      </c>
      <c r="V5" s="173" t="s">
        <v>67</v>
      </c>
      <c r="W5" s="19">
        <v>2024.0</v>
      </c>
      <c r="X5" s="20" t="s">
        <v>68</v>
      </c>
      <c r="Y5" s="19">
        <v>100.0</v>
      </c>
      <c r="Z5" s="19">
        <v>2024.0</v>
      </c>
      <c r="AA5" s="174">
        <v>83.07</v>
      </c>
      <c r="AB5" s="175">
        <v>10.0</v>
      </c>
      <c r="AC5" s="19">
        <v>2.5</v>
      </c>
      <c r="AD5" s="19">
        <v>6.0</v>
      </c>
      <c r="AE5" s="19">
        <v>7.8</v>
      </c>
      <c r="AF5" s="176">
        <v>0.0</v>
      </c>
      <c r="AG5" s="23" t="s">
        <v>69</v>
      </c>
      <c r="AH5" s="169" t="s">
        <v>70</v>
      </c>
      <c r="AI5" s="25">
        <v>0.0</v>
      </c>
      <c r="AJ5" s="22" t="s">
        <v>71</v>
      </c>
      <c r="AK5" s="22">
        <v>335.4</v>
      </c>
      <c r="AL5" s="22">
        <v>10.7</v>
      </c>
      <c r="AM5" s="22">
        <v>0.0</v>
      </c>
      <c r="AN5" s="26" t="s">
        <v>72</v>
      </c>
      <c r="AO5" s="177">
        <v>0.0</v>
      </c>
      <c r="AP5" s="178">
        <v>0.0</v>
      </c>
      <c r="AQ5" s="179">
        <v>0.0</v>
      </c>
      <c r="AR5" s="179">
        <v>0.0</v>
      </c>
      <c r="AS5" s="180">
        <v>50.0</v>
      </c>
      <c r="AT5" s="180">
        <v>50.0</v>
      </c>
      <c r="AU5" s="179">
        <f t="shared" ref="AU5:AW5" si="9">0.7*AP5</f>
        <v>0</v>
      </c>
      <c r="AV5" s="179">
        <f t="shared" si="9"/>
        <v>0</v>
      </c>
      <c r="AW5" s="179">
        <f t="shared" si="9"/>
        <v>0</v>
      </c>
      <c r="AX5" s="181">
        <v>50.0</v>
      </c>
      <c r="AY5" s="181">
        <v>50.0</v>
      </c>
      <c r="AZ5" s="182">
        <v>0.0</v>
      </c>
      <c r="BA5" s="51" t="s">
        <v>72</v>
      </c>
      <c r="BB5" s="177">
        <v>0.0</v>
      </c>
      <c r="BC5" s="144">
        <v>0.0</v>
      </c>
      <c r="BD5" s="48" t="s">
        <v>168</v>
      </c>
      <c r="BE5" s="49">
        <v>1.0</v>
      </c>
      <c r="BF5" s="183">
        <v>10.0</v>
      </c>
      <c r="BG5" s="51" t="s">
        <v>72</v>
      </c>
      <c r="BH5" s="177">
        <v>0.0</v>
      </c>
      <c r="BI5" s="168" t="s">
        <v>382</v>
      </c>
      <c r="BJ5" s="142">
        <v>80.0</v>
      </c>
      <c r="BK5" s="141">
        <v>26.0</v>
      </c>
      <c r="BL5" s="143" t="s">
        <v>373</v>
      </c>
      <c r="BM5" s="144">
        <v>-155932.0</v>
      </c>
      <c r="BN5" s="137">
        <v>208310.0</v>
      </c>
      <c r="BO5" s="19">
        <v>237.0</v>
      </c>
      <c r="BP5" s="137">
        <v>208547.0</v>
      </c>
      <c r="BQ5" s="137">
        <v>34291.0</v>
      </c>
      <c r="BR5" s="137">
        <v>7529.0</v>
      </c>
      <c r="BS5" s="137">
        <v>22821.0</v>
      </c>
      <c r="BT5" s="19">
        <v>0.0</v>
      </c>
      <c r="BU5" s="137">
        <v>64641.0</v>
      </c>
      <c r="BV5" s="137">
        <v>6992.0</v>
      </c>
      <c r="BW5" s="138">
        <v>44197.0</v>
      </c>
      <c r="BX5" s="137">
        <v>208547.0</v>
      </c>
      <c r="BY5" s="31">
        <f t="shared" si="3"/>
        <v>164350</v>
      </c>
      <c r="BZ5" s="32">
        <v>0.26</v>
      </c>
      <c r="CA5" s="13">
        <v>469.0</v>
      </c>
      <c r="CB5" s="34">
        <v>8394.0</v>
      </c>
      <c r="CC5" s="34">
        <v>35771.0</v>
      </c>
      <c r="CD5" s="34">
        <f t="shared" si="4"/>
        <v>27377</v>
      </c>
      <c r="CE5" s="34">
        <v>101431.0</v>
      </c>
      <c r="CF5" s="34">
        <v>432262.0</v>
      </c>
      <c r="CG5" s="34">
        <f t="shared" si="5"/>
        <v>330831</v>
      </c>
      <c r="CH5" s="34">
        <v>297130.0</v>
      </c>
      <c r="CI5" s="34">
        <v>453062.0</v>
      </c>
      <c r="CJ5" s="34">
        <f t="shared" si="6"/>
        <v>155932</v>
      </c>
      <c r="CK5" s="34">
        <f t="shared" si="7"/>
        <v>-155932</v>
      </c>
      <c r="CL5" s="139">
        <v>0.0</v>
      </c>
    </row>
    <row r="6" ht="14.25" customHeight="1">
      <c r="A6" s="164" t="s">
        <v>383</v>
      </c>
      <c r="B6" s="171"/>
      <c r="C6" s="193"/>
      <c r="D6" s="24"/>
      <c r="E6" s="166"/>
      <c r="F6" s="139"/>
      <c r="G6" s="194"/>
      <c r="H6" s="195"/>
      <c r="I6" s="168" t="s">
        <v>384</v>
      </c>
      <c r="J6" s="169" t="s">
        <v>188</v>
      </c>
      <c r="K6" s="139" t="s">
        <v>115</v>
      </c>
      <c r="L6" s="164" t="s">
        <v>383</v>
      </c>
      <c r="M6" s="5" t="s">
        <v>62</v>
      </c>
      <c r="N6" s="13" t="s">
        <v>63</v>
      </c>
      <c r="O6" s="170">
        <v>8000.0</v>
      </c>
      <c r="P6" s="171" t="s">
        <v>116</v>
      </c>
      <c r="Q6" s="43" t="s">
        <v>84</v>
      </c>
      <c r="R6" s="19">
        <v>100.0</v>
      </c>
      <c r="S6" s="44" t="s">
        <v>69</v>
      </c>
      <c r="T6" s="16" t="s">
        <v>66</v>
      </c>
      <c r="U6" s="196">
        <v>2.01</v>
      </c>
      <c r="V6" s="173" t="s">
        <v>67</v>
      </c>
      <c r="W6" s="19">
        <v>2024.0</v>
      </c>
      <c r="X6" s="76" t="s">
        <v>68</v>
      </c>
      <c r="Y6" s="5">
        <v>100.0</v>
      </c>
      <c r="Z6" s="19">
        <v>2024.0</v>
      </c>
      <c r="AA6" s="195">
        <v>83.07</v>
      </c>
      <c r="AB6" s="175">
        <v>25.0</v>
      </c>
      <c r="AC6" s="19">
        <v>2.5</v>
      </c>
      <c r="AD6" s="19">
        <v>6.0</v>
      </c>
      <c r="AE6" s="19">
        <v>7.8</v>
      </c>
      <c r="AF6" s="176">
        <v>0.0</v>
      </c>
      <c r="AG6" s="23" t="s">
        <v>69</v>
      </c>
      <c r="AH6" s="169" t="s">
        <v>70</v>
      </c>
      <c r="AI6" s="25">
        <v>2220.0</v>
      </c>
      <c r="AJ6" s="22" t="s">
        <v>71</v>
      </c>
      <c r="AK6" s="22">
        <v>335.4</v>
      </c>
      <c r="AL6" s="22">
        <v>10.7</v>
      </c>
      <c r="AM6" s="22">
        <v>0.0</v>
      </c>
      <c r="AN6" s="26" t="s">
        <v>72</v>
      </c>
      <c r="AO6" s="177">
        <v>0.0</v>
      </c>
      <c r="AP6" s="178">
        <v>495.0</v>
      </c>
      <c r="AQ6" s="179">
        <v>665.0</v>
      </c>
      <c r="AR6" s="179">
        <v>8066.0</v>
      </c>
      <c r="AS6" s="180">
        <v>100.0</v>
      </c>
      <c r="AT6" s="180">
        <v>100.0</v>
      </c>
      <c r="AU6" s="179">
        <f t="shared" ref="AU6:AW6" si="10">0.7*AP6</f>
        <v>346.5</v>
      </c>
      <c r="AV6" s="179">
        <f t="shared" si="10"/>
        <v>465.5</v>
      </c>
      <c r="AW6" s="179">
        <f t="shared" si="10"/>
        <v>5646.2</v>
      </c>
      <c r="AX6" s="181">
        <v>50.0</v>
      </c>
      <c r="AY6" s="181">
        <v>50.0</v>
      </c>
      <c r="AZ6" s="182">
        <v>0.0</v>
      </c>
      <c r="BA6" s="51" t="s">
        <v>72</v>
      </c>
      <c r="BB6" s="177">
        <v>0.0</v>
      </c>
      <c r="BC6" s="144">
        <v>0.0</v>
      </c>
      <c r="BD6" s="48" t="s">
        <v>168</v>
      </c>
      <c r="BE6" s="49">
        <v>1.0</v>
      </c>
      <c r="BF6" s="183">
        <v>10.0</v>
      </c>
      <c r="BG6" s="51" t="s">
        <v>72</v>
      </c>
      <c r="BH6" s="177">
        <v>0.0</v>
      </c>
      <c r="BI6" s="168" t="s">
        <v>385</v>
      </c>
      <c r="BJ6" s="142">
        <v>80.0</v>
      </c>
      <c r="BK6" s="141">
        <v>26.0</v>
      </c>
      <c r="BL6" s="143" t="s">
        <v>386</v>
      </c>
      <c r="BM6" s="144">
        <v>-924987.0</v>
      </c>
      <c r="BN6" s="145">
        <v>205123.0</v>
      </c>
      <c r="BO6" s="19">
        <v>625.0</v>
      </c>
      <c r="BP6" s="137">
        <v>205748.0</v>
      </c>
      <c r="BQ6" s="137">
        <v>33416.0</v>
      </c>
      <c r="BR6" s="137">
        <v>11645.0</v>
      </c>
      <c r="BS6" s="137">
        <v>16777.0</v>
      </c>
      <c r="BT6" s="19">
        <v>0.0</v>
      </c>
      <c r="BU6" s="137">
        <v>61838.0</v>
      </c>
      <c r="BV6" s="145">
        <v>11054.0</v>
      </c>
      <c r="BW6" s="138">
        <v>44197.0</v>
      </c>
      <c r="BX6" s="137">
        <v>205748.0</v>
      </c>
      <c r="BY6" s="31">
        <f t="shared" si="3"/>
        <v>161551</v>
      </c>
      <c r="BZ6" s="120">
        <v>0.24</v>
      </c>
      <c r="CA6" s="29">
        <v>1184.0</v>
      </c>
      <c r="CB6" s="33">
        <v>8394.0</v>
      </c>
      <c r="CC6" s="33">
        <v>34121.0</v>
      </c>
      <c r="CD6" s="34">
        <f t="shared" si="4"/>
        <v>25727</v>
      </c>
      <c r="CE6" s="33">
        <v>334284.0</v>
      </c>
      <c r="CF6" s="33">
        <v>1358855.0</v>
      </c>
      <c r="CG6" s="34">
        <f t="shared" si="5"/>
        <v>1024571</v>
      </c>
      <c r="CH6" s="34">
        <v>860764.0</v>
      </c>
      <c r="CI6" s="34">
        <v>1785751.0</v>
      </c>
      <c r="CJ6" s="34">
        <f t="shared" si="6"/>
        <v>924987</v>
      </c>
      <c r="CK6" s="34">
        <f t="shared" si="7"/>
        <v>-924987</v>
      </c>
      <c r="CL6" s="195">
        <v>0.0</v>
      </c>
    </row>
    <row r="7" ht="14.25" customHeight="1">
      <c r="A7" s="164" t="s">
        <v>387</v>
      </c>
      <c r="B7" s="171"/>
      <c r="C7" s="193"/>
      <c r="D7" s="24"/>
      <c r="E7" s="166"/>
      <c r="F7" s="139"/>
      <c r="G7" s="171"/>
      <c r="H7" s="197"/>
      <c r="I7" s="168" t="s">
        <v>388</v>
      </c>
      <c r="J7" s="169" t="s">
        <v>188</v>
      </c>
      <c r="K7" s="139" t="s">
        <v>115</v>
      </c>
      <c r="L7" s="164" t="s">
        <v>387</v>
      </c>
      <c r="M7" s="13" t="s">
        <v>62</v>
      </c>
      <c r="N7" s="13" t="s">
        <v>63</v>
      </c>
      <c r="O7" s="170">
        <v>8000.0</v>
      </c>
      <c r="P7" s="171" t="s">
        <v>116</v>
      </c>
      <c r="Q7" s="43" t="s">
        <v>84</v>
      </c>
      <c r="R7" s="19">
        <v>100.0</v>
      </c>
      <c r="S7" s="44" t="s">
        <v>69</v>
      </c>
      <c r="T7" s="16" t="s">
        <v>66</v>
      </c>
      <c r="U7" s="196">
        <v>2.01</v>
      </c>
      <c r="V7" s="173" t="s">
        <v>67</v>
      </c>
      <c r="W7" s="19">
        <v>2024.0</v>
      </c>
      <c r="X7" s="76" t="s">
        <v>68</v>
      </c>
      <c r="Y7" s="5">
        <v>100.0</v>
      </c>
      <c r="Z7" s="19">
        <v>2024.0</v>
      </c>
      <c r="AA7" s="195">
        <v>83.07</v>
      </c>
      <c r="AB7" s="175">
        <v>10.0</v>
      </c>
      <c r="AC7" s="19">
        <v>2.5</v>
      </c>
      <c r="AD7" s="19">
        <v>6.0</v>
      </c>
      <c r="AE7" s="19">
        <v>7.8</v>
      </c>
      <c r="AF7" s="176">
        <v>0.0</v>
      </c>
      <c r="AG7" s="23" t="s">
        <v>69</v>
      </c>
      <c r="AH7" s="169" t="s">
        <v>70</v>
      </c>
      <c r="AI7" s="25">
        <v>0.0</v>
      </c>
      <c r="AJ7" s="22" t="s">
        <v>71</v>
      </c>
      <c r="AK7" s="22">
        <v>335.4</v>
      </c>
      <c r="AL7" s="22">
        <v>10.7</v>
      </c>
      <c r="AM7" s="22">
        <v>0.0</v>
      </c>
      <c r="AN7" s="26" t="s">
        <v>72</v>
      </c>
      <c r="AO7" s="177">
        <v>0.0</v>
      </c>
      <c r="AP7" s="178">
        <v>0.0</v>
      </c>
      <c r="AQ7" s="179">
        <v>0.0</v>
      </c>
      <c r="AR7" s="179">
        <v>0.0</v>
      </c>
      <c r="AS7" s="180">
        <v>100.0</v>
      </c>
      <c r="AT7" s="180">
        <v>100.0</v>
      </c>
      <c r="AU7" s="179">
        <f t="shared" ref="AU7:AW7" si="11">0.7*AP7</f>
        <v>0</v>
      </c>
      <c r="AV7" s="179">
        <f t="shared" si="11"/>
        <v>0</v>
      </c>
      <c r="AW7" s="179">
        <f t="shared" si="11"/>
        <v>0</v>
      </c>
      <c r="AX7" s="181">
        <v>50.0</v>
      </c>
      <c r="AY7" s="181">
        <v>50.0</v>
      </c>
      <c r="AZ7" s="182">
        <v>0.0</v>
      </c>
      <c r="BA7" s="51" t="s">
        <v>72</v>
      </c>
      <c r="BB7" s="177">
        <v>0.0</v>
      </c>
      <c r="BC7" s="144">
        <v>0.0</v>
      </c>
      <c r="BD7" s="48" t="s">
        <v>168</v>
      </c>
      <c r="BE7" s="49">
        <v>1.0</v>
      </c>
      <c r="BF7" s="183">
        <v>10.0</v>
      </c>
      <c r="BG7" s="51" t="s">
        <v>72</v>
      </c>
      <c r="BH7" s="177">
        <v>0.0</v>
      </c>
      <c r="BI7" s="168" t="s">
        <v>389</v>
      </c>
      <c r="BJ7" s="142">
        <v>80.0</v>
      </c>
      <c r="BK7" s="141">
        <v>26.0</v>
      </c>
      <c r="BL7" s="143" t="s">
        <v>386</v>
      </c>
      <c r="BM7" s="144">
        <v>-130805.0</v>
      </c>
      <c r="BN7" s="145">
        <v>204114.0</v>
      </c>
      <c r="BO7" s="19">
        <v>620.0</v>
      </c>
      <c r="BP7" s="137">
        <v>204734.0</v>
      </c>
      <c r="BQ7" s="137">
        <v>34233.0</v>
      </c>
      <c r="BR7" s="137">
        <v>11863.0</v>
      </c>
      <c r="BS7" s="137">
        <v>18544.0</v>
      </c>
      <c r="BT7" s="19">
        <v>0.0</v>
      </c>
      <c r="BU7" s="137">
        <v>64641.0</v>
      </c>
      <c r="BV7" s="137">
        <v>11246.0</v>
      </c>
      <c r="BW7" s="138">
        <v>44197.0</v>
      </c>
      <c r="BX7" s="137">
        <v>204734.0</v>
      </c>
      <c r="BY7" s="31">
        <f t="shared" si="3"/>
        <v>160537</v>
      </c>
      <c r="BZ7" s="32">
        <v>0.25</v>
      </c>
      <c r="CA7" s="13">
        <v>469.0</v>
      </c>
      <c r="CB7" s="34">
        <v>8394.0</v>
      </c>
      <c r="CC7" s="34">
        <v>33691.0</v>
      </c>
      <c r="CD7" s="34">
        <f t="shared" si="4"/>
        <v>25297</v>
      </c>
      <c r="CE7" s="33">
        <v>101431.0</v>
      </c>
      <c r="CF7" s="34">
        <v>407135.0</v>
      </c>
      <c r="CG7" s="34">
        <f t="shared" si="5"/>
        <v>305704</v>
      </c>
      <c r="CH7" s="34">
        <v>297130.0</v>
      </c>
      <c r="CI7" s="34">
        <v>427935.0</v>
      </c>
      <c r="CJ7" s="34">
        <f t="shared" si="6"/>
        <v>130805</v>
      </c>
      <c r="CK7" s="34">
        <f t="shared" si="7"/>
        <v>-130805</v>
      </c>
      <c r="CL7" s="139">
        <v>0.0</v>
      </c>
    </row>
    <row r="8" ht="14.25" customHeight="1">
      <c r="A8" s="164" t="s">
        <v>390</v>
      </c>
      <c r="B8" s="171"/>
      <c r="C8" s="193"/>
      <c r="D8" s="24"/>
      <c r="E8" s="171"/>
      <c r="F8" s="192"/>
      <c r="G8" s="167"/>
      <c r="H8" s="139"/>
      <c r="I8" s="168" t="s">
        <v>391</v>
      </c>
      <c r="J8" s="169" t="s">
        <v>188</v>
      </c>
      <c r="K8" s="139" t="s">
        <v>115</v>
      </c>
      <c r="L8" s="164" t="s">
        <v>390</v>
      </c>
      <c r="M8" s="13" t="s">
        <v>62</v>
      </c>
      <c r="N8" s="13" t="s">
        <v>63</v>
      </c>
      <c r="O8" s="170">
        <v>8000.0</v>
      </c>
      <c r="P8" s="171" t="s">
        <v>116</v>
      </c>
      <c r="Q8" s="39" t="s">
        <v>85</v>
      </c>
      <c r="R8" s="74" t="s">
        <v>69</v>
      </c>
      <c r="S8" s="5">
        <v>0.06713</v>
      </c>
      <c r="T8" s="16" t="s">
        <v>66</v>
      </c>
      <c r="U8" s="196">
        <v>2.01</v>
      </c>
      <c r="V8" s="173" t="s">
        <v>67</v>
      </c>
      <c r="W8" s="19">
        <v>2024.0</v>
      </c>
      <c r="X8" s="76" t="s">
        <v>68</v>
      </c>
      <c r="Y8" s="5">
        <v>100.0</v>
      </c>
      <c r="Z8" s="19">
        <v>2024.0</v>
      </c>
      <c r="AA8" s="195">
        <v>83.07</v>
      </c>
      <c r="AB8" s="175">
        <v>25.0</v>
      </c>
      <c r="AC8" s="19">
        <v>2.5</v>
      </c>
      <c r="AD8" s="19">
        <v>6.0</v>
      </c>
      <c r="AE8" s="19">
        <v>7.8</v>
      </c>
      <c r="AF8" s="176">
        <v>0.0</v>
      </c>
      <c r="AG8" s="23" t="s">
        <v>69</v>
      </c>
      <c r="AH8" s="169" t="s">
        <v>70</v>
      </c>
      <c r="AI8" s="25">
        <v>2220.0</v>
      </c>
      <c r="AJ8" s="22" t="s">
        <v>71</v>
      </c>
      <c r="AK8" s="22">
        <v>335.4</v>
      </c>
      <c r="AL8" s="22">
        <v>10.7</v>
      </c>
      <c r="AM8" s="22">
        <v>0.0</v>
      </c>
      <c r="AN8" s="26" t="s">
        <v>72</v>
      </c>
      <c r="AO8" s="177">
        <v>0.0</v>
      </c>
      <c r="AP8" s="178">
        <v>495.0</v>
      </c>
      <c r="AQ8" s="179">
        <v>665.0</v>
      </c>
      <c r="AR8" s="179">
        <v>8066.0</v>
      </c>
      <c r="AS8" s="180">
        <v>100.0</v>
      </c>
      <c r="AT8" s="180">
        <v>100.0</v>
      </c>
      <c r="AU8" s="179">
        <f t="shared" ref="AU8:AW8" si="12">0.7*AP8</f>
        <v>346.5</v>
      </c>
      <c r="AV8" s="179">
        <f t="shared" si="12"/>
        <v>465.5</v>
      </c>
      <c r="AW8" s="179">
        <f t="shared" si="12"/>
        <v>5646.2</v>
      </c>
      <c r="AX8" s="181">
        <v>50.0</v>
      </c>
      <c r="AY8" s="181">
        <v>50.0</v>
      </c>
      <c r="AZ8" s="182">
        <v>0.0</v>
      </c>
      <c r="BA8" s="51" t="s">
        <v>72</v>
      </c>
      <c r="BB8" s="177">
        <v>0.0</v>
      </c>
      <c r="BC8" s="144">
        <v>0.0</v>
      </c>
      <c r="BD8" s="48" t="s">
        <v>168</v>
      </c>
      <c r="BE8" s="49">
        <v>1.0</v>
      </c>
      <c r="BF8" s="183">
        <v>10.0</v>
      </c>
      <c r="BG8" s="51" t="s">
        <v>72</v>
      </c>
      <c r="BH8" s="177">
        <v>0.0</v>
      </c>
      <c r="BI8" s="168" t="s">
        <v>392</v>
      </c>
      <c r="BJ8" s="142">
        <v>80.0</v>
      </c>
      <c r="BK8" s="141">
        <v>26.0</v>
      </c>
      <c r="BL8" s="143" t="s">
        <v>386</v>
      </c>
      <c r="BM8" s="144">
        <v>-978750.0</v>
      </c>
      <c r="BN8" s="145">
        <v>204903.0</v>
      </c>
      <c r="BO8" s="19">
        <v>554.0</v>
      </c>
      <c r="BP8" s="137">
        <v>205457.0</v>
      </c>
      <c r="BQ8" s="137">
        <v>33429.0</v>
      </c>
      <c r="BR8" s="137">
        <v>11947.0</v>
      </c>
      <c r="BS8" s="137">
        <v>16461.0</v>
      </c>
      <c r="BT8" s="19">
        <v>0.0</v>
      </c>
      <c r="BU8" s="137">
        <v>61838.0</v>
      </c>
      <c r="BV8" s="137">
        <v>11261.0</v>
      </c>
      <c r="BW8" s="138">
        <v>44197.0</v>
      </c>
      <c r="BX8" s="137">
        <v>205457.0</v>
      </c>
      <c r="BY8" s="31">
        <f t="shared" si="3"/>
        <v>161260</v>
      </c>
      <c r="BZ8" s="32">
        <v>0.24</v>
      </c>
      <c r="CA8" s="31">
        <v>1184.0</v>
      </c>
      <c r="CB8" s="34">
        <v>8394.0</v>
      </c>
      <c r="CC8" s="34">
        <v>35470.0</v>
      </c>
      <c r="CD8" s="34">
        <f t="shared" si="4"/>
        <v>27076</v>
      </c>
      <c r="CE8" s="33">
        <v>334284.0</v>
      </c>
      <c r="CF8" s="34">
        <v>1412617.0</v>
      </c>
      <c r="CG8" s="34">
        <f t="shared" si="5"/>
        <v>1078333</v>
      </c>
      <c r="CH8" s="34">
        <v>860764.0</v>
      </c>
      <c r="CI8" s="34">
        <v>1839513.0</v>
      </c>
      <c r="CJ8" s="34">
        <f t="shared" si="6"/>
        <v>978749</v>
      </c>
      <c r="CK8" s="34">
        <f t="shared" si="7"/>
        <v>-978749</v>
      </c>
      <c r="CL8" s="139">
        <v>0.0</v>
      </c>
    </row>
    <row r="9" ht="14.25" customHeight="1">
      <c r="A9" s="164" t="s">
        <v>393</v>
      </c>
      <c r="B9" s="171"/>
      <c r="C9" s="193"/>
      <c r="D9" s="24"/>
      <c r="E9" s="171"/>
      <c r="F9" s="192"/>
      <c r="G9" s="124"/>
      <c r="H9" s="191"/>
      <c r="I9" s="168" t="s">
        <v>394</v>
      </c>
      <c r="J9" s="169" t="s">
        <v>188</v>
      </c>
      <c r="K9" s="139" t="s">
        <v>115</v>
      </c>
      <c r="L9" s="164" t="s">
        <v>393</v>
      </c>
      <c r="M9" s="13" t="s">
        <v>62</v>
      </c>
      <c r="N9" s="13" t="s">
        <v>63</v>
      </c>
      <c r="O9" s="170">
        <v>8000.0</v>
      </c>
      <c r="P9" s="171" t="s">
        <v>116</v>
      </c>
      <c r="Q9" s="39" t="s">
        <v>85</v>
      </c>
      <c r="R9" s="74" t="s">
        <v>69</v>
      </c>
      <c r="S9" s="5">
        <v>0.06713</v>
      </c>
      <c r="T9" s="16" t="s">
        <v>66</v>
      </c>
      <c r="U9" s="196">
        <v>2.01</v>
      </c>
      <c r="V9" s="173" t="s">
        <v>67</v>
      </c>
      <c r="W9" s="19">
        <v>2024.0</v>
      </c>
      <c r="X9" s="76" t="s">
        <v>68</v>
      </c>
      <c r="Y9" s="5">
        <v>100.0</v>
      </c>
      <c r="Z9" s="19">
        <v>2024.0</v>
      </c>
      <c r="AA9" s="195">
        <v>83.07</v>
      </c>
      <c r="AB9" s="175">
        <v>10.0</v>
      </c>
      <c r="AC9" s="19">
        <v>2.5</v>
      </c>
      <c r="AD9" s="19">
        <v>6.0</v>
      </c>
      <c r="AE9" s="19">
        <v>7.8</v>
      </c>
      <c r="AF9" s="176">
        <v>0.0</v>
      </c>
      <c r="AG9" s="23" t="s">
        <v>69</v>
      </c>
      <c r="AH9" s="169" t="s">
        <v>70</v>
      </c>
      <c r="AI9" s="25">
        <v>0.0</v>
      </c>
      <c r="AJ9" s="22" t="s">
        <v>71</v>
      </c>
      <c r="AK9" s="22">
        <v>335.4</v>
      </c>
      <c r="AL9" s="22">
        <v>10.7</v>
      </c>
      <c r="AM9" s="22">
        <v>0.0</v>
      </c>
      <c r="AN9" s="26" t="s">
        <v>72</v>
      </c>
      <c r="AO9" s="177">
        <v>0.0</v>
      </c>
      <c r="AP9" s="178">
        <v>0.0</v>
      </c>
      <c r="AQ9" s="179">
        <v>0.0</v>
      </c>
      <c r="AR9" s="179">
        <v>0.0</v>
      </c>
      <c r="AS9" s="180">
        <v>100.0</v>
      </c>
      <c r="AT9" s="180">
        <v>100.0</v>
      </c>
      <c r="AU9" s="179">
        <f t="shared" ref="AU9:AW9" si="13">0.7*AP9</f>
        <v>0</v>
      </c>
      <c r="AV9" s="179">
        <f t="shared" si="13"/>
        <v>0</v>
      </c>
      <c r="AW9" s="179">
        <f t="shared" si="13"/>
        <v>0</v>
      </c>
      <c r="AX9" s="181">
        <v>50.0</v>
      </c>
      <c r="AY9" s="181">
        <v>50.0</v>
      </c>
      <c r="AZ9" s="182">
        <v>0.0</v>
      </c>
      <c r="BA9" s="51" t="s">
        <v>72</v>
      </c>
      <c r="BB9" s="177">
        <v>0.0</v>
      </c>
      <c r="BC9" s="144">
        <v>0.0</v>
      </c>
      <c r="BD9" s="48" t="s">
        <v>168</v>
      </c>
      <c r="BE9" s="49">
        <v>1.0</v>
      </c>
      <c r="BF9" s="183">
        <v>10.0</v>
      </c>
      <c r="BG9" s="51" t="s">
        <v>72</v>
      </c>
      <c r="BH9" s="177">
        <v>0.0</v>
      </c>
      <c r="BI9" s="168" t="s">
        <v>395</v>
      </c>
      <c r="BJ9" s="142">
        <v>80.0</v>
      </c>
      <c r="BK9" s="141">
        <v>26.0</v>
      </c>
      <c r="BL9" s="143" t="s">
        <v>386</v>
      </c>
      <c r="BM9" s="144">
        <v>-148820.0</v>
      </c>
      <c r="BN9" s="145">
        <v>203825.0</v>
      </c>
      <c r="BO9" s="19">
        <v>569.0</v>
      </c>
      <c r="BP9" s="137">
        <v>204394.0</v>
      </c>
      <c r="BQ9" s="137">
        <v>34266.0</v>
      </c>
      <c r="BR9" s="137">
        <v>12200.0</v>
      </c>
      <c r="BS9" s="137">
        <v>18174.0</v>
      </c>
      <c r="BT9" s="19">
        <v>0.0</v>
      </c>
      <c r="BU9" s="137">
        <v>64641.0</v>
      </c>
      <c r="BV9" s="137">
        <v>11502.0</v>
      </c>
      <c r="BW9" s="138">
        <v>44197.0</v>
      </c>
      <c r="BX9" s="137">
        <v>204394.0</v>
      </c>
      <c r="BY9" s="31">
        <f t="shared" si="3"/>
        <v>160197</v>
      </c>
      <c r="BZ9" s="32">
        <v>0.25</v>
      </c>
      <c r="CA9" s="13">
        <v>469.0</v>
      </c>
      <c r="CB9" s="34">
        <v>8394.0</v>
      </c>
      <c r="CC9" s="34">
        <v>35182.0</v>
      </c>
      <c r="CD9" s="34">
        <f t="shared" si="4"/>
        <v>26788</v>
      </c>
      <c r="CE9" s="33">
        <v>101431.0</v>
      </c>
      <c r="CF9" s="34">
        <v>425150.0</v>
      </c>
      <c r="CG9" s="34">
        <f t="shared" si="5"/>
        <v>323719</v>
      </c>
      <c r="CH9" s="34">
        <v>297130.0</v>
      </c>
      <c r="CI9" s="34">
        <v>445950.0</v>
      </c>
      <c r="CJ9" s="34">
        <f t="shared" si="6"/>
        <v>148820</v>
      </c>
      <c r="CK9" s="34">
        <f t="shared" si="7"/>
        <v>-148820</v>
      </c>
      <c r="CL9" s="139">
        <v>0.0</v>
      </c>
    </row>
    <row r="10" ht="14.25" customHeight="1">
      <c r="A10" s="164" t="s">
        <v>396</v>
      </c>
      <c r="B10" s="171"/>
      <c r="C10" s="198"/>
      <c r="D10" s="199"/>
      <c r="E10" s="166"/>
      <c r="F10" s="139"/>
      <c r="G10" s="167"/>
      <c r="H10" s="139"/>
      <c r="I10" s="168" t="s">
        <v>397</v>
      </c>
      <c r="J10" s="169" t="s">
        <v>188</v>
      </c>
      <c r="K10" s="139" t="s">
        <v>115</v>
      </c>
      <c r="L10" s="164" t="s">
        <v>396</v>
      </c>
      <c r="M10" s="13" t="s">
        <v>62</v>
      </c>
      <c r="N10" s="13" t="s">
        <v>63</v>
      </c>
      <c r="O10" s="170">
        <v>8000.0</v>
      </c>
      <c r="P10" s="171" t="s">
        <v>116</v>
      </c>
      <c r="Q10" s="43" t="s">
        <v>84</v>
      </c>
      <c r="R10" s="19">
        <v>100.0</v>
      </c>
      <c r="S10" s="44" t="s">
        <v>69</v>
      </c>
      <c r="T10" s="16" t="s">
        <v>66</v>
      </c>
      <c r="U10" s="196">
        <v>2.01</v>
      </c>
      <c r="V10" s="173" t="s">
        <v>67</v>
      </c>
      <c r="W10" s="19">
        <v>2024.0</v>
      </c>
      <c r="X10" s="76" t="s">
        <v>68</v>
      </c>
      <c r="Y10" s="5">
        <v>100.0</v>
      </c>
      <c r="Z10" s="19">
        <v>2024.0</v>
      </c>
      <c r="AA10" s="195">
        <v>83.07</v>
      </c>
      <c r="AB10" s="175">
        <v>25.0</v>
      </c>
      <c r="AC10" s="19">
        <v>2.5</v>
      </c>
      <c r="AD10" s="19">
        <v>6.0</v>
      </c>
      <c r="AE10" s="19">
        <v>7.8</v>
      </c>
      <c r="AF10" s="176">
        <v>0.0</v>
      </c>
      <c r="AG10" s="23" t="s">
        <v>69</v>
      </c>
      <c r="AH10" s="169" t="s">
        <v>70</v>
      </c>
      <c r="AI10" s="25">
        <v>2220.0</v>
      </c>
      <c r="AJ10" s="22" t="s">
        <v>71</v>
      </c>
      <c r="AK10" s="22">
        <v>335.4</v>
      </c>
      <c r="AL10" s="22">
        <v>10.7</v>
      </c>
      <c r="AM10" s="22">
        <v>0.0</v>
      </c>
      <c r="AN10" s="26" t="s">
        <v>72</v>
      </c>
      <c r="AO10" s="177">
        <v>0.0</v>
      </c>
      <c r="AP10" s="178">
        <v>495.0</v>
      </c>
      <c r="AQ10" s="179">
        <v>665.0</v>
      </c>
      <c r="AR10" s="179">
        <v>8066.0</v>
      </c>
      <c r="AS10" s="180">
        <v>200.0</v>
      </c>
      <c r="AT10" s="180">
        <v>200.0</v>
      </c>
      <c r="AU10" s="179">
        <f t="shared" ref="AU10:AW10" si="14">0.7*AP10</f>
        <v>346.5</v>
      </c>
      <c r="AV10" s="179">
        <f t="shared" si="14"/>
        <v>465.5</v>
      </c>
      <c r="AW10" s="179">
        <f t="shared" si="14"/>
        <v>5646.2</v>
      </c>
      <c r="AX10" s="181">
        <v>50.0</v>
      </c>
      <c r="AY10" s="181">
        <v>50.0</v>
      </c>
      <c r="AZ10" s="182">
        <v>0.0</v>
      </c>
      <c r="BA10" s="51" t="s">
        <v>72</v>
      </c>
      <c r="BB10" s="177">
        <v>0.0</v>
      </c>
      <c r="BC10" s="144">
        <v>0.0</v>
      </c>
      <c r="BD10" s="48" t="s">
        <v>168</v>
      </c>
      <c r="BE10" s="49">
        <v>1.0</v>
      </c>
      <c r="BF10" s="183">
        <v>10.0</v>
      </c>
      <c r="BG10" s="51" t="s">
        <v>72</v>
      </c>
      <c r="BH10" s="177">
        <v>0.0</v>
      </c>
      <c r="BI10" s="168" t="s">
        <v>398</v>
      </c>
      <c r="BJ10" s="142">
        <v>80.0</v>
      </c>
      <c r="BK10" s="141">
        <v>26.0</v>
      </c>
      <c r="BL10" s="143" t="s">
        <v>399</v>
      </c>
      <c r="BM10" s="144">
        <v>-1023212.0</v>
      </c>
      <c r="BN10" s="145">
        <v>201224.0</v>
      </c>
      <c r="BO10" s="137">
        <v>1212.0</v>
      </c>
      <c r="BP10" s="137">
        <v>202436.0</v>
      </c>
      <c r="BQ10" s="137">
        <v>33224.0</v>
      </c>
      <c r="BR10" s="137">
        <v>15580.0</v>
      </c>
      <c r="BS10" s="137">
        <v>13034.0</v>
      </c>
      <c r="BT10" s="19">
        <v>0.0</v>
      </c>
      <c r="BU10" s="137">
        <v>61838.0</v>
      </c>
      <c r="BV10" s="137">
        <v>15146.0</v>
      </c>
      <c r="BW10" s="138">
        <v>44197.0</v>
      </c>
      <c r="BX10" s="137">
        <v>202436.0</v>
      </c>
      <c r="BY10" s="31">
        <f t="shared" si="3"/>
        <v>158239</v>
      </c>
      <c r="BZ10" s="32">
        <v>0.24</v>
      </c>
      <c r="CA10" s="31">
        <v>1185.0</v>
      </c>
      <c r="CB10" s="34">
        <v>8394.0</v>
      </c>
      <c r="CC10" s="34">
        <v>33886.0</v>
      </c>
      <c r="CD10" s="34">
        <f t="shared" si="4"/>
        <v>25492</v>
      </c>
      <c r="CE10" s="33">
        <v>334284.0</v>
      </c>
      <c r="CF10" s="34">
        <v>1349534.0</v>
      </c>
      <c r="CG10" s="34">
        <f t="shared" si="5"/>
        <v>1015250</v>
      </c>
      <c r="CH10" s="34">
        <v>860764.0</v>
      </c>
      <c r="CI10" s="34">
        <v>1883976.0</v>
      </c>
      <c r="CJ10" s="34">
        <f t="shared" si="6"/>
        <v>1023212</v>
      </c>
      <c r="CK10" s="34">
        <f t="shared" si="7"/>
        <v>-1023212</v>
      </c>
      <c r="CL10" s="139">
        <v>0.0</v>
      </c>
    </row>
    <row r="11" ht="14.25" customHeight="1">
      <c r="A11" s="164" t="s">
        <v>400</v>
      </c>
      <c r="B11" s="171"/>
      <c r="C11" s="198"/>
      <c r="D11" s="199"/>
      <c r="E11" s="166"/>
      <c r="F11" s="139"/>
      <c r="G11" s="124"/>
      <c r="H11" s="191"/>
      <c r="I11" s="168" t="s">
        <v>401</v>
      </c>
      <c r="J11" s="169" t="s">
        <v>188</v>
      </c>
      <c r="K11" s="139" t="s">
        <v>115</v>
      </c>
      <c r="L11" s="164" t="s">
        <v>400</v>
      </c>
      <c r="M11" s="5" t="s">
        <v>62</v>
      </c>
      <c r="N11" s="13" t="s">
        <v>63</v>
      </c>
      <c r="O11" s="170">
        <v>8000.0</v>
      </c>
      <c r="P11" s="171" t="s">
        <v>116</v>
      </c>
      <c r="Q11" s="43" t="s">
        <v>84</v>
      </c>
      <c r="R11" s="19">
        <v>100.0</v>
      </c>
      <c r="S11" s="44" t="s">
        <v>69</v>
      </c>
      <c r="T11" s="16" t="s">
        <v>66</v>
      </c>
      <c r="U11" s="196">
        <v>2.01</v>
      </c>
      <c r="V11" s="173" t="s">
        <v>67</v>
      </c>
      <c r="W11" s="19">
        <v>2024.0</v>
      </c>
      <c r="X11" s="76" t="s">
        <v>68</v>
      </c>
      <c r="Y11" s="5">
        <v>100.0</v>
      </c>
      <c r="Z11" s="19">
        <v>2024.0</v>
      </c>
      <c r="AA11" s="195">
        <v>83.07</v>
      </c>
      <c r="AB11" s="175">
        <v>10.0</v>
      </c>
      <c r="AC11" s="19">
        <v>2.5</v>
      </c>
      <c r="AD11" s="19">
        <v>6.0</v>
      </c>
      <c r="AE11" s="19">
        <v>7.8</v>
      </c>
      <c r="AF11" s="176">
        <v>0.0</v>
      </c>
      <c r="AG11" s="23" t="s">
        <v>69</v>
      </c>
      <c r="AH11" s="169" t="s">
        <v>70</v>
      </c>
      <c r="AI11" s="25">
        <v>0.0</v>
      </c>
      <c r="AJ11" s="22" t="s">
        <v>71</v>
      </c>
      <c r="AK11" s="22">
        <v>335.4</v>
      </c>
      <c r="AL11" s="22">
        <v>10.7</v>
      </c>
      <c r="AM11" s="22">
        <v>0.0</v>
      </c>
      <c r="AN11" s="26" t="s">
        <v>72</v>
      </c>
      <c r="AO11" s="177">
        <v>0.0</v>
      </c>
      <c r="AP11" s="178">
        <v>0.0</v>
      </c>
      <c r="AQ11" s="179">
        <v>0.0</v>
      </c>
      <c r="AR11" s="179">
        <v>0.0</v>
      </c>
      <c r="AS11" s="180">
        <v>200.0</v>
      </c>
      <c r="AT11" s="180">
        <v>200.0</v>
      </c>
      <c r="AU11" s="179">
        <f t="shared" ref="AU11:AW11" si="15">0.7*AP11</f>
        <v>0</v>
      </c>
      <c r="AV11" s="179">
        <f t="shared" si="15"/>
        <v>0</v>
      </c>
      <c r="AW11" s="179">
        <f t="shared" si="15"/>
        <v>0</v>
      </c>
      <c r="AX11" s="181">
        <v>50.0</v>
      </c>
      <c r="AY11" s="181">
        <v>50.0</v>
      </c>
      <c r="AZ11" s="182">
        <v>0.0</v>
      </c>
      <c r="BA11" s="51" t="s">
        <v>72</v>
      </c>
      <c r="BB11" s="177">
        <v>0.0</v>
      </c>
      <c r="BC11" s="144">
        <v>0.0</v>
      </c>
      <c r="BD11" s="48" t="s">
        <v>168</v>
      </c>
      <c r="BE11" s="49">
        <v>1.0</v>
      </c>
      <c r="BF11" s="183">
        <v>10.0</v>
      </c>
      <c r="BG11" s="51" t="s">
        <v>72</v>
      </c>
      <c r="BH11" s="177">
        <v>0.0</v>
      </c>
      <c r="BI11" s="168" t="s">
        <v>402</v>
      </c>
      <c r="BJ11" s="142">
        <v>80.0</v>
      </c>
      <c r="BK11" s="141">
        <v>26.0</v>
      </c>
      <c r="BL11" s="143" t="s">
        <v>399</v>
      </c>
      <c r="BM11" s="144">
        <v>-127969.0</v>
      </c>
      <c r="BN11" s="145">
        <v>199976.0</v>
      </c>
      <c r="BO11" s="137">
        <v>1315.0</v>
      </c>
      <c r="BP11" s="137">
        <v>201291.0</v>
      </c>
      <c r="BQ11" s="137">
        <v>34146.0</v>
      </c>
      <c r="BR11" s="137">
        <v>15840.0</v>
      </c>
      <c r="BS11" s="137">
        <v>14655.0</v>
      </c>
      <c r="BT11" s="19">
        <v>0.0</v>
      </c>
      <c r="BU11" s="137">
        <v>64641.0</v>
      </c>
      <c r="BV11" s="137">
        <v>15472.0</v>
      </c>
      <c r="BW11" s="138">
        <v>44197.0</v>
      </c>
      <c r="BX11" s="137">
        <v>201291.0</v>
      </c>
      <c r="BY11" s="31">
        <f t="shared" si="3"/>
        <v>157094</v>
      </c>
      <c r="BZ11" s="32">
        <v>0.25</v>
      </c>
      <c r="CA11" s="13">
        <v>469.0</v>
      </c>
      <c r="CB11" s="34">
        <v>8394.0</v>
      </c>
      <c r="CC11" s="34">
        <v>33456.0</v>
      </c>
      <c r="CD11" s="34">
        <f t="shared" si="4"/>
        <v>25062</v>
      </c>
      <c r="CE11" s="33">
        <v>101431.0</v>
      </c>
      <c r="CF11" s="34">
        <v>404299.0</v>
      </c>
      <c r="CG11" s="34">
        <f t="shared" si="5"/>
        <v>302868</v>
      </c>
      <c r="CH11" s="34">
        <v>297130.0</v>
      </c>
      <c r="CI11" s="34">
        <v>425099.0</v>
      </c>
      <c r="CJ11" s="34">
        <f t="shared" si="6"/>
        <v>127969</v>
      </c>
      <c r="CK11" s="34">
        <f t="shared" si="7"/>
        <v>-127969</v>
      </c>
      <c r="CL11" s="139">
        <v>0.0</v>
      </c>
    </row>
    <row r="12" ht="14.25" customHeight="1">
      <c r="A12" s="164" t="s">
        <v>403</v>
      </c>
      <c r="B12" s="171"/>
      <c r="C12" s="198"/>
      <c r="D12" s="199"/>
      <c r="E12" s="171"/>
      <c r="F12" s="192"/>
      <c r="G12" s="194"/>
      <c r="H12" s="195"/>
      <c r="I12" s="168" t="s">
        <v>404</v>
      </c>
      <c r="J12" s="169" t="s">
        <v>188</v>
      </c>
      <c r="K12" s="139" t="s">
        <v>115</v>
      </c>
      <c r="L12" s="164" t="s">
        <v>403</v>
      </c>
      <c r="M12" s="5" t="s">
        <v>62</v>
      </c>
      <c r="N12" s="13" t="s">
        <v>63</v>
      </c>
      <c r="O12" s="170">
        <v>8000.0</v>
      </c>
      <c r="P12" s="171" t="s">
        <v>116</v>
      </c>
      <c r="Q12" s="39" t="s">
        <v>85</v>
      </c>
      <c r="R12" s="74" t="s">
        <v>69</v>
      </c>
      <c r="S12" s="5">
        <v>0.06713</v>
      </c>
      <c r="T12" s="16" t="s">
        <v>66</v>
      </c>
      <c r="U12" s="196">
        <v>2.01</v>
      </c>
      <c r="V12" s="173" t="s">
        <v>67</v>
      </c>
      <c r="W12" s="19">
        <v>2024.0</v>
      </c>
      <c r="X12" s="76" t="s">
        <v>68</v>
      </c>
      <c r="Y12" s="5">
        <v>100.0</v>
      </c>
      <c r="Z12" s="19">
        <v>2024.0</v>
      </c>
      <c r="AA12" s="195">
        <v>83.07</v>
      </c>
      <c r="AB12" s="175">
        <v>25.0</v>
      </c>
      <c r="AC12" s="5">
        <v>2.5</v>
      </c>
      <c r="AD12" s="5">
        <v>6.0</v>
      </c>
      <c r="AE12" s="19">
        <v>7.8</v>
      </c>
      <c r="AF12" s="176">
        <v>0.0</v>
      </c>
      <c r="AG12" s="23" t="s">
        <v>69</v>
      </c>
      <c r="AH12" s="169" t="s">
        <v>70</v>
      </c>
      <c r="AI12" s="25">
        <v>2220.0</v>
      </c>
      <c r="AJ12" s="22" t="s">
        <v>71</v>
      </c>
      <c r="AK12" s="22">
        <v>335.4</v>
      </c>
      <c r="AL12" s="22">
        <v>10.7</v>
      </c>
      <c r="AM12" s="22">
        <v>0.0</v>
      </c>
      <c r="AN12" s="26" t="s">
        <v>72</v>
      </c>
      <c r="AO12" s="177">
        <v>0.0</v>
      </c>
      <c r="AP12" s="178">
        <v>495.0</v>
      </c>
      <c r="AQ12" s="179">
        <v>665.0</v>
      </c>
      <c r="AR12" s="179">
        <v>8066.0</v>
      </c>
      <c r="AS12" s="180">
        <v>200.0</v>
      </c>
      <c r="AT12" s="180">
        <v>200.0</v>
      </c>
      <c r="AU12" s="179">
        <f t="shared" ref="AU12:AW12" si="16">0.7*AP12</f>
        <v>346.5</v>
      </c>
      <c r="AV12" s="179">
        <f t="shared" si="16"/>
        <v>465.5</v>
      </c>
      <c r="AW12" s="179">
        <f t="shared" si="16"/>
        <v>5646.2</v>
      </c>
      <c r="AX12" s="181">
        <v>50.0</v>
      </c>
      <c r="AY12" s="181">
        <v>50.0</v>
      </c>
      <c r="AZ12" s="182">
        <v>0.0</v>
      </c>
      <c r="BA12" s="51" t="s">
        <v>72</v>
      </c>
      <c r="BB12" s="177">
        <v>0.0</v>
      </c>
      <c r="BC12" s="144">
        <v>0.0</v>
      </c>
      <c r="BD12" s="48" t="s">
        <v>168</v>
      </c>
      <c r="BE12" s="49">
        <v>1.0</v>
      </c>
      <c r="BF12" s="183">
        <v>10.0</v>
      </c>
      <c r="BG12" s="51" t="s">
        <v>72</v>
      </c>
      <c r="BH12" s="177">
        <v>0.0</v>
      </c>
      <c r="BI12" s="168" t="s">
        <v>405</v>
      </c>
      <c r="BJ12" s="142">
        <v>80.0</v>
      </c>
      <c r="BK12" s="141">
        <v>26.0</v>
      </c>
      <c r="BL12" s="143" t="s">
        <v>399</v>
      </c>
      <c r="BM12" s="144">
        <v>-1064731.0</v>
      </c>
      <c r="BN12" s="145">
        <v>200983.0</v>
      </c>
      <c r="BO12" s="137">
        <v>1153.0</v>
      </c>
      <c r="BP12" s="137">
        <v>202136.0</v>
      </c>
      <c r="BQ12" s="137">
        <v>33333.0</v>
      </c>
      <c r="BR12" s="137">
        <v>15786.0</v>
      </c>
      <c r="BS12" s="137">
        <v>12719.0</v>
      </c>
      <c r="BT12" s="19">
        <v>0.0</v>
      </c>
      <c r="BU12" s="137">
        <v>61838.0</v>
      </c>
      <c r="BV12" s="137">
        <v>15277.0</v>
      </c>
      <c r="BW12" s="138">
        <v>44197.0</v>
      </c>
      <c r="BX12" s="137">
        <v>202136.0</v>
      </c>
      <c r="BY12" s="31">
        <f t="shared" si="3"/>
        <v>157939</v>
      </c>
      <c r="BZ12" s="32">
        <v>0.24</v>
      </c>
      <c r="CA12" s="31">
        <v>1185.0</v>
      </c>
      <c r="CB12" s="34">
        <v>8394.0</v>
      </c>
      <c r="CC12" s="34">
        <v>34928.0</v>
      </c>
      <c r="CD12" s="34">
        <f t="shared" si="4"/>
        <v>26534</v>
      </c>
      <c r="CE12" s="33">
        <v>334284.0</v>
      </c>
      <c r="CF12" s="34">
        <v>1391053.0</v>
      </c>
      <c r="CG12" s="34">
        <f t="shared" si="5"/>
        <v>1056769</v>
      </c>
      <c r="CH12" s="34">
        <v>860764.0</v>
      </c>
      <c r="CI12" s="34">
        <v>1925494.0</v>
      </c>
      <c r="CJ12" s="34">
        <f t="shared" si="6"/>
        <v>1064730</v>
      </c>
      <c r="CK12" s="34">
        <f t="shared" si="7"/>
        <v>-1064730</v>
      </c>
      <c r="CL12" s="139">
        <v>0.0</v>
      </c>
    </row>
    <row r="13" ht="14.25" customHeight="1">
      <c r="A13" s="200" t="s">
        <v>406</v>
      </c>
      <c r="B13" s="201"/>
      <c r="C13" s="202"/>
      <c r="D13" s="203"/>
      <c r="E13" s="201"/>
      <c r="F13" s="204"/>
      <c r="G13" s="201"/>
      <c r="H13" s="205"/>
      <c r="I13" s="168" t="s">
        <v>407</v>
      </c>
      <c r="J13" s="206" t="s">
        <v>188</v>
      </c>
      <c r="K13" s="207" t="s">
        <v>115</v>
      </c>
      <c r="L13" s="200" t="s">
        <v>406</v>
      </c>
      <c r="M13" s="81" t="s">
        <v>62</v>
      </c>
      <c r="N13" s="83" t="s">
        <v>63</v>
      </c>
      <c r="O13" s="209">
        <v>8000.0</v>
      </c>
      <c r="P13" s="128" t="s">
        <v>116</v>
      </c>
      <c r="Q13" s="82" t="s">
        <v>85</v>
      </c>
      <c r="R13" s="88" t="s">
        <v>69</v>
      </c>
      <c r="S13" s="81">
        <v>0.06713</v>
      </c>
      <c r="T13" s="89" t="s">
        <v>66</v>
      </c>
      <c r="U13" s="210">
        <v>2.01</v>
      </c>
      <c r="V13" s="211" t="s">
        <v>67</v>
      </c>
      <c r="W13" s="92">
        <v>2024.0</v>
      </c>
      <c r="X13" s="93" t="s">
        <v>68</v>
      </c>
      <c r="Y13" s="81">
        <v>100.0</v>
      </c>
      <c r="Z13" s="92">
        <v>2024.0</v>
      </c>
      <c r="AA13" s="153">
        <v>83.07</v>
      </c>
      <c r="AB13" s="212">
        <v>10.0</v>
      </c>
      <c r="AC13" s="81">
        <v>2.5</v>
      </c>
      <c r="AD13" s="81">
        <v>6.0</v>
      </c>
      <c r="AE13" s="92">
        <v>7.8</v>
      </c>
      <c r="AF13" s="213">
        <v>0.0</v>
      </c>
      <c r="AG13" s="96" t="s">
        <v>69</v>
      </c>
      <c r="AH13" s="206" t="s">
        <v>70</v>
      </c>
      <c r="AI13" s="98">
        <v>0.0</v>
      </c>
      <c r="AJ13" s="95" t="s">
        <v>71</v>
      </c>
      <c r="AK13" s="95">
        <v>335.4</v>
      </c>
      <c r="AL13" s="95">
        <v>10.7</v>
      </c>
      <c r="AM13" s="95">
        <v>0.0</v>
      </c>
      <c r="AN13" s="99" t="s">
        <v>72</v>
      </c>
      <c r="AO13" s="214">
        <v>0.0</v>
      </c>
      <c r="AP13" s="215">
        <v>0.0</v>
      </c>
      <c r="AQ13" s="216">
        <v>0.0</v>
      </c>
      <c r="AR13" s="216">
        <v>0.0</v>
      </c>
      <c r="AS13" s="217">
        <v>200.0</v>
      </c>
      <c r="AT13" s="217">
        <v>200.0</v>
      </c>
      <c r="AU13" s="216">
        <f t="shared" ref="AU13:AW13" si="17">0.7*AP13</f>
        <v>0</v>
      </c>
      <c r="AV13" s="216">
        <f t="shared" si="17"/>
        <v>0</v>
      </c>
      <c r="AW13" s="216">
        <f t="shared" si="17"/>
        <v>0</v>
      </c>
      <c r="AX13" s="218">
        <v>50.0</v>
      </c>
      <c r="AY13" s="218">
        <v>50.0</v>
      </c>
      <c r="AZ13" s="219">
        <v>0.0</v>
      </c>
      <c r="BA13" s="105" t="s">
        <v>72</v>
      </c>
      <c r="BB13" s="214">
        <v>0.0</v>
      </c>
      <c r="BC13" s="220">
        <v>0.0</v>
      </c>
      <c r="BD13" s="127" t="s">
        <v>168</v>
      </c>
      <c r="BE13" s="103">
        <v>1.0</v>
      </c>
      <c r="BF13" s="221">
        <v>10.0</v>
      </c>
      <c r="BG13" s="105" t="s">
        <v>72</v>
      </c>
      <c r="BH13" s="214">
        <v>0.0</v>
      </c>
      <c r="BI13" s="168" t="s">
        <v>408</v>
      </c>
      <c r="BJ13" s="146">
        <v>80.0</v>
      </c>
      <c r="BK13" s="222">
        <v>26.0</v>
      </c>
      <c r="BL13" s="148" t="s">
        <v>399</v>
      </c>
      <c r="BM13" s="220">
        <v>-142063.0</v>
      </c>
      <c r="BN13" s="147">
        <v>199787.0</v>
      </c>
      <c r="BO13" s="150">
        <v>1100.0</v>
      </c>
      <c r="BP13" s="150">
        <v>200887.0</v>
      </c>
      <c r="BQ13" s="150">
        <v>34099.0</v>
      </c>
      <c r="BR13" s="150">
        <v>16318.0</v>
      </c>
      <c r="BS13" s="150">
        <v>14224.0</v>
      </c>
      <c r="BT13" s="92">
        <v>0.0</v>
      </c>
      <c r="BU13" s="150">
        <v>64641.0</v>
      </c>
      <c r="BV13" s="147">
        <v>15708.0</v>
      </c>
      <c r="BW13" s="151">
        <v>44197.0</v>
      </c>
      <c r="BX13" s="150">
        <v>200887.0</v>
      </c>
      <c r="BY13" s="244">
        <f t="shared" si="3"/>
        <v>156690</v>
      </c>
      <c r="BZ13" s="131">
        <v>0.25</v>
      </c>
      <c r="CA13" s="81">
        <v>469.0</v>
      </c>
      <c r="CB13" s="132">
        <v>8394.0</v>
      </c>
      <c r="CC13" s="132">
        <v>34623.0</v>
      </c>
      <c r="CD13" s="152">
        <f t="shared" si="4"/>
        <v>26229</v>
      </c>
      <c r="CE13" s="132">
        <v>101431.0</v>
      </c>
      <c r="CF13" s="132">
        <v>418393.0</v>
      </c>
      <c r="CG13" s="152">
        <f t="shared" si="5"/>
        <v>316962</v>
      </c>
      <c r="CH13" s="132">
        <v>297130.0</v>
      </c>
      <c r="CI13" s="132">
        <v>439193.0</v>
      </c>
      <c r="CJ13" s="152">
        <f t="shared" si="6"/>
        <v>142063</v>
      </c>
      <c r="CK13" s="132">
        <f t="shared" si="7"/>
        <v>-142063</v>
      </c>
      <c r="CL13" s="153">
        <v>0.0</v>
      </c>
    </row>
    <row r="14" ht="14.25" customHeight="1">
      <c r="BG14" s="13"/>
      <c r="BH14" s="13"/>
    </row>
    <row r="15" ht="14.25" customHeight="1">
      <c r="A15" s="119" t="s">
        <v>180</v>
      </c>
      <c r="AS15" s="5"/>
      <c r="AT15" s="5"/>
      <c r="BG15" s="13"/>
      <c r="BH15" s="13"/>
    </row>
    <row r="16" ht="14.25" customHeight="1">
      <c r="BG16" s="13"/>
      <c r="BH16" s="13"/>
    </row>
    <row r="17" ht="14.25" customHeight="1">
      <c r="BG17" s="13"/>
      <c r="BH17" s="13"/>
    </row>
    <row r="18" ht="14.25" customHeight="1">
      <c r="BG18" s="13"/>
      <c r="BH18" s="13"/>
    </row>
    <row r="19" ht="14.25" customHeight="1">
      <c r="BG19" s="13"/>
      <c r="BH19" s="13"/>
    </row>
    <row r="20" ht="14.25" customHeight="1">
      <c r="BG20" s="13"/>
      <c r="BH20" s="13"/>
    </row>
    <row r="21" ht="14.25" customHeight="1">
      <c r="BG21" s="13"/>
      <c r="BH21" s="13"/>
    </row>
    <row r="22" ht="14.25" customHeight="1">
      <c r="BG22" s="13"/>
      <c r="BH22" s="13"/>
    </row>
    <row r="23" ht="14.25" customHeight="1">
      <c r="BG23" s="13"/>
      <c r="BH23" s="13"/>
    </row>
    <row r="24" ht="14.25" customHeight="1">
      <c r="BG24" s="13"/>
      <c r="BH24" s="13"/>
    </row>
    <row r="25" ht="14.25" customHeight="1">
      <c r="BG25" s="13"/>
      <c r="BH25" s="13"/>
    </row>
    <row r="26" ht="14.25" customHeight="1">
      <c r="BG26" s="13"/>
      <c r="BH26" s="13"/>
    </row>
    <row r="27" ht="14.25" customHeight="1">
      <c r="BG27" s="13"/>
      <c r="BH27" s="13"/>
    </row>
    <row r="28" ht="14.25" customHeight="1">
      <c r="BG28" s="13"/>
      <c r="BH28" s="13"/>
    </row>
    <row r="29" ht="14.25" customHeight="1">
      <c r="BG29" s="13"/>
      <c r="BH29" s="13"/>
    </row>
    <row r="30" ht="14.25" customHeight="1">
      <c r="BG30" s="13"/>
      <c r="BH30" s="13"/>
    </row>
    <row r="31" ht="14.25" customHeight="1">
      <c r="BG31" s="13"/>
      <c r="BH31" s="13"/>
    </row>
    <row r="32" ht="14.25" customHeight="1">
      <c r="BG32" s="13"/>
      <c r="BH32" s="13"/>
    </row>
    <row r="33" ht="14.25" customHeight="1">
      <c r="BG33" s="13"/>
      <c r="BH33" s="13"/>
    </row>
    <row r="34" ht="14.25" customHeight="1">
      <c r="BG34" s="13"/>
      <c r="BH34" s="13"/>
    </row>
    <row r="35" ht="14.25" customHeight="1">
      <c r="BG35" s="13"/>
      <c r="BH35" s="13"/>
    </row>
    <row r="36" ht="14.25" customHeight="1">
      <c r="BG36" s="13"/>
      <c r="BH36" s="13"/>
    </row>
    <row r="37" ht="14.25" customHeight="1">
      <c r="BG37" s="13"/>
      <c r="BH37" s="13"/>
    </row>
    <row r="38" ht="14.25" customHeight="1">
      <c r="BG38" s="13"/>
      <c r="BH38" s="13"/>
    </row>
    <row r="39" ht="14.25" customHeight="1">
      <c r="BG39" s="13"/>
      <c r="BH39" s="13"/>
    </row>
    <row r="40" ht="14.25" customHeight="1">
      <c r="BG40" s="13"/>
      <c r="BH40" s="13"/>
    </row>
    <row r="41" ht="14.25" customHeight="1">
      <c r="BG41" s="13"/>
      <c r="BH41" s="13"/>
    </row>
    <row r="42" ht="14.25" customHeight="1">
      <c r="BG42" s="13"/>
      <c r="BH42" s="13"/>
    </row>
    <row r="43" ht="14.25" customHeight="1">
      <c r="BG43" s="13"/>
      <c r="BH43" s="13"/>
    </row>
    <row r="44" ht="14.25" customHeight="1">
      <c r="BG44" s="13"/>
      <c r="BH44" s="13"/>
    </row>
    <row r="45" ht="14.25" customHeight="1">
      <c r="BG45" s="13"/>
      <c r="BH45" s="13"/>
    </row>
    <row r="46" ht="14.25" customHeight="1">
      <c r="BG46" s="13"/>
      <c r="BH46" s="13"/>
    </row>
    <row r="47" ht="14.25" customHeight="1">
      <c r="BG47" s="13"/>
      <c r="BH47" s="13"/>
    </row>
    <row r="48" ht="14.25" customHeight="1">
      <c r="BG48" s="13"/>
      <c r="BH48" s="13"/>
    </row>
    <row r="49" ht="14.25" customHeight="1">
      <c r="BG49" s="13"/>
      <c r="BH49" s="13"/>
    </row>
    <row r="50" ht="14.25" customHeight="1">
      <c r="BG50" s="13"/>
      <c r="BH50" s="13"/>
    </row>
    <row r="51" ht="14.25" customHeight="1">
      <c r="BG51" s="13"/>
      <c r="BH51" s="13"/>
    </row>
    <row r="52" ht="14.25" customHeight="1">
      <c r="BG52" s="13"/>
      <c r="BH52" s="13"/>
    </row>
    <row r="53" ht="14.25" customHeight="1">
      <c r="BG53" s="13"/>
      <c r="BH53" s="13"/>
    </row>
    <row r="54" ht="14.25" customHeight="1">
      <c r="BG54" s="13"/>
      <c r="BH54" s="13"/>
    </row>
    <row r="55" ht="14.25" customHeight="1">
      <c r="BG55" s="13"/>
      <c r="BH55" s="13"/>
    </row>
    <row r="56" ht="14.25" customHeight="1">
      <c r="BG56" s="13"/>
      <c r="BH56" s="13"/>
    </row>
    <row r="57" ht="14.25" customHeight="1">
      <c r="BG57" s="13"/>
      <c r="BH57" s="13"/>
    </row>
    <row r="58" ht="14.25" customHeight="1">
      <c r="BG58" s="13"/>
      <c r="BH58" s="13"/>
    </row>
    <row r="59" ht="14.25" customHeight="1">
      <c r="BG59" s="13"/>
      <c r="BH59" s="13"/>
    </row>
    <row r="60" ht="14.25" customHeight="1">
      <c r="BG60" s="13"/>
      <c r="BH60" s="13"/>
    </row>
    <row r="61" ht="14.25" customHeight="1">
      <c r="BG61" s="13"/>
      <c r="BH61" s="13"/>
    </row>
    <row r="62" ht="14.25" customHeight="1">
      <c r="BG62" s="13"/>
      <c r="BH62" s="13"/>
    </row>
    <row r="63" ht="14.25" customHeight="1">
      <c r="BG63" s="13"/>
      <c r="BH63" s="13"/>
    </row>
    <row r="64" ht="14.25" customHeight="1">
      <c r="BG64" s="13"/>
      <c r="BH64" s="13"/>
    </row>
    <row r="65" ht="14.25" customHeight="1">
      <c r="BG65" s="13"/>
      <c r="BH65" s="13"/>
    </row>
    <row r="66" ht="14.25" customHeight="1">
      <c r="BG66" s="13"/>
      <c r="BH66" s="13"/>
    </row>
    <row r="67" ht="14.25" customHeight="1">
      <c r="BG67" s="13"/>
      <c r="BH67" s="13"/>
    </row>
    <row r="68" ht="14.25" customHeight="1">
      <c r="BG68" s="13"/>
      <c r="BH68" s="13"/>
    </row>
    <row r="69" ht="14.25" customHeight="1">
      <c r="BG69" s="13"/>
      <c r="BH69" s="13"/>
    </row>
    <row r="70" ht="14.25" customHeight="1">
      <c r="BG70" s="13"/>
      <c r="BH70" s="13"/>
    </row>
    <row r="71" ht="14.25" customHeight="1">
      <c r="BG71" s="13"/>
      <c r="BH71" s="13"/>
    </row>
    <row r="72" ht="14.25" customHeight="1">
      <c r="BG72" s="13"/>
      <c r="BH72" s="13"/>
    </row>
    <row r="73" ht="14.25" customHeight="1">
      <c r="BG73" s="13"/>
      <c r="BH73" s="13"/>
    </row>
    <row r="74" ht="14.25" customHeight="1">
      <c r="BG74" s="13"/>
      <c r="BH74" s="13"/>
    </row>
    <row r="75" ht="14.25" customHeight="1">
      <c r="BG75" s="13"/>
      <c r="BH75" s="13"/>
    </row>
    <row r="76" ht="14.25" customHeight="1">
      <c r="BG76" s="13"/>
      <c r="BH76" s="13"/>
    </row>
    <row r="77" ht="14.25" customHeight="1">
      <c r="BG77" s="13"/>
      <c r="BH77" s="13"/>
    </row>
    <row r="78" ht="14.25" customHeight="1">
      <c r="BG78" s="13"/>
      <c r="BH78" s="13"/>
    </row>
    <row r="79" ht="14.25" customHeight="1">
      <c r="BG79" s="13"/>
      <c r="BH79" s="13"/>
    </row>
    <row r="80" ht="14.25" customHeight="1">
      <c r="BG80" s="13"/>
      <c r="BH80" s="13"/>
    </row>
    <row r="81" ht="14.25" customHeight="1">
      <c r="BG81" s="13"/>
      <c r="BH81" s="13"/>
    </row>
    <row r="82" ht="14.25" customHeight="1">
      <c r="BG82" s="13"/>
      <c r="BH82" s="13"/>
    </row>
    <row r="83" ht="14.25" customHeight="1">
      <c r="BG83" s="13"/>
      <c r="BH83" s="13"/>
    </row>
    <row r="84" ht="14.25" customHeight="1">
      <c r="BG84" s="13"/>
      <c r="BH84" s="13"/>
    </row>
    <row r="85" ht="14.25" customHeight="1">
      <c r="BG85" s="13"/>
      <c r="BH85" s="13"/>
    </row>
    <row r="86" ht="14.25" customHeight="1">
      <c r="BG86" s="13"/>
      <c r="BH86" s="13"/>
    </row>
    <row r="87" ht="14.25" customHeight="1">
      <c r="BG87" s="13"/>
      <c r="BH87" s="13"/>
    </row>
    <row r="88" ht="14.25" customHeight="1">
      <c r="BG88" s="13"/>
      <c r="BH88" s="13"/>
    </row>
    <row r="89" ht="14.25" customHeight="1">
      <c r="BG89" s="13"/>
      <c r="BH89" s="13"/>
    </row>
    <row r="90" ht="14.25" customHeight="1">
      <c r="BG90" s="13"/>
      <c r="BH90" s="13"/>
    </row>
    <row r="91" ht="14.25" customHeight="1">
      <c r="BG91" s="13"/>
      <c r="BH91" s="13"/>
    </row>
    <row r="92" ht="14.25" customHeight="1">
      <c r="BG92" s="13"/>
      <c r="BH92" s="13"/>
    </row>
    <row r="93" ht="14.25" customHeight="1">
      <c r="BG93" s="13"/>
      <c r="BH93" s="13"/>
    </row>
    <row r="94" ht="14.25" customHeight="1">
      <c r="BG94" s="13"/>
      <c r="BH94" s="13"/>
    </row>
    <row r="95" ht="14.25" customHeight="1">
      <c r="BG95" s="13"/>
      <c r="BH95" s="13"/>
    </row>
    <row r="96" ht="14.25" customHeight="1">
      <c r="BG96" s="13"/>
      <c r="BH96" s="13"/>
    </row>
    <row r="97" ht="14.25" customHeight="1">
      <c r="BG97" s="13"/>
      <c r="BH97" s="13"/>
    </row>
    <row r="98" ht="14.25" customHeight="1">
      <c r="BG98" s="13"/>
      <c r="BH98" s="13"/>
    </row>
    <row r="99" ht="14.25" customHeight="1">
      <c r="BG99" s="13"/>
      <c r="BH99" s="13"/>
    </row>
    <row r="100" ht="14.25" customHeight="1">
      <c r="BG100" s="13"/>
      <c r="BH100" s="13"/>
    </row>
    <row r="101" ht="14.25" customHeight="1">
      <c r="BG101" s="13"/>
      <c r="BH101" s="13"/>
    </row>
    <row r="102" ht="14.25" customHeight="1">
      <c r="BG102" s="13"/>
      <c r="BH102" s="13"/>
    </row>
    <row r="103" ht="14.25" customHeight="1">
      <c r="BG103" s="13"/>
      <c r="BH103" s="13"/>
    </row>
    <row r="104" ht="14.25" customHeight="1">
      <c r="BG104" s="13"/>
      <c r="BH104" s="13"/>
    </row>
    <row r="105" ht="14.25" customHeight="1">
      <c r="BG105" s="13"/>
      <c r="BH105" s="13"/>
    </row>
    <row r="106" ht="14.25" customHeight="1">
      <c r="BG106" s="13"/>
      <c r="BH106" s="13"/>
    </row>
    <row r="107" ht="14.25" customHeight="1">
      <c r="BG107" s="13"/>
      <c r="BH107" s="13"/>
    </row>
    <row r="108" ht="14.25" customHeight="1">
      <c r="BG108" s="13"/>
      <c r="BH108" s="13"/>
    </row>
    <row r="109" ht="14.25" customHeight="1">
      <c r="BG109" s="13"/>
      <c r="BH109" s="13"/>
    </row>
    <row r="110" ht="14.25" customHeight="1">
      <c r="BG110" s="13"/>
      <c r="BH110" s="13"/>
    </row>
    <row r="111" ht="14.25" customHeight="1">
      <c r="BG111" s="13"/>
      <c r="BH111" s="13"/>
    </row>
    <row r="112" ht="14.25" customHeight="1">
      <c r="BG112" s="13"/>
      <c r="BH112" s="13"/>
    </row>
    <row r="113" ht="14.25" customHeight="1">
      <c r="BG113" s="13"/>
      <c r="BH113" s="13"/>
    </row>
    <row r="114" ht="14.25" customHeight="1">
      <c r="BG114" s="13"/>
      <c r="BH114" s="13"/>
    </row>
    <row r="115" ht="14.25" customHeight="1">
      <c r="BG115" s="13"/>
      <c r="BH115" s="13"/>
    </row>
    <row r="116" ht="14.25" customHeight="1">
      <c r="BG116" s="13"/>
      <c r="BH116" s="13"/>
    </row>
    <row r="117" ht="14.25" customHeight="1">
      <c r="BG117" s="13"/>
      <c r="BH117" s="13"/>
    </row>
    <row r="118" ht="14.25" customHeight="1">
      <c r="BG118" s="13"/>
      <c r="BH118" s="13"/>
    </row>
    <row r="119" ht="14.25" customHeight="1">
      <c r="BG119" s="13"/>
      <c r="BH119" s="13"/>
    </row>
    <row r="120" ht="14.25" customHeight="1">
      <c r="BG120" s="13"/>
      <c r="BH120" s="13"/>
    </row>
    <row r="121" ht="14.25" customHeight="1">
      <c r="BG121" s="13"/>
      <c r="BH121" s="13"/>
    </row>
    <row r="122" ht="14.25" customHeight="1">
      <c r="BG122" s="13"/>
      <c r="BH122" s="13"/>
    </row>
    <row r="123" ht="14.25" customHeight="1">
      <c r="BG123" s="13"/>
      <c r="BH123" s="13"/>
    </row>
    <row r="124" ht="14.25" customHeight="1">
      <c r="BG124" s="13"/>
      <c r="BH124" s="13"/>
    </row>
    <row r="125" ht="14.25" customHeight="1">
      <c r="BG125" s="13"/>
      <c r="BH125" s="13"/>
    </row>
    <row r="126" ht="14.25" customHeight="1">
      <c r="BG126" s="13"/>
      <c r="BH126" s="13"/>
    </row>
    <row r="127" ht="14.25" customHeight="1">
      <c r="BG127" s="13"/>
      <c r="BH127" s="13"/>
    </row>
    <row r="128" ht="14.25" customHeight="1">
      <c r="BG128" s="13"/>
      <c r="BH128" s="13"/>
    </row>
    <row r="129" ht="14.25" customHeight="1">
      <c r="BG129" s="13"/>
      <c r="BH129" s="13"/>
    </row>
    <row r="130" ht="14.25" customHeight="1">
      <c r="BG130" s="13"/>
      <c r="BH130" s="13"/>
    </row>
    <row r="131" ht="14.25" customHeight="1">
      <c r="BG131" s="13"/>
      <c r="BH131" s="13"/>
    </row>
    <row r="132" ht="14.25" customHeight="1">
      <c r="BG132" s="13"/>
      <c r="BH132" s="13"/>
    </row>
    <row r="133" ht="14.25" customHeight="1">
      <c r="BG133" s="13"/>
      <c r="BH133" s="13"/>
    </row>
    <row r="134" ht="14.25" customHeight="1">
      <c r="BG134" s="13"/>
      <c r="BH134" s="13"/>
    </row>
    <row r="135" ht="14.25" customHeight="1">
      <c r="BG135" s="13"/>
      <c r="BH135" s="13"/>
    </row>
    <row r="136" ht="14.25" customHeight="1">
      <c r="BG136" s="13"/>
      <c r="BH136" s="13"/>
    </row>
    <row r="137" ht="14.25" customHeight="1">
      <c r="BG137" s="13"/>
      <c r="BH137" s="13"/>
    </row>
    <row r="138" ht="14.25" customHeight="1">
      <c r="BG138" s="13"/>
      <c r="BH138" s="13"/>
    </row>
    <row r="139" ht="14.25" customHeight="1">
      <c r="BG139" s="13"/>
      <c r="BH139" s="13"/>
    </row>
    <row r="140" ht="14.25" customHeight="1">
      <c r="BG140" s="13"/>
      <c r="BH140" s="13"/>
    </row>
    <row r="141" ht="14.25" customHeight="1">
      <c r="BG141" s="13"/>
      <c r="BH141" s="13"/>
    </row>
    <row r="142" ht="14.25" customHeight="1">
      <c r="BG142" s="13"/>
      <c r="BH142" s="13"/>
    </row>
    <row r="143" ht="14.25" customHeight="1">
      <c r="BG143" s="13"/>
      <c r="BH143" s="13"/>
    </row>
    <row r="144" ht="14.25" customHeight="1">
      <c r="BG144" s="13"/>
      <c r="BH144" s="13"/>
    </row>
    <row r="145" ht="14.25" customHeight="1">
      <c r="BG145" s="13"/>
      <c r="BH145" s="13"/>
    </row>
    <row r="146" ht="14.25" customHeight="1">
      <c r="BG146" s="13"/>
      <c r="BH146" s="13"/>
    </row>
    <row r="147" ht="14.25" customHeight="1">
      <c r="BG147" s="13"/>
      <c r="BH147" s="13"/>
    </row>
    <row r="148" ht="14.25" customHeight="1">
      <c r="BG148" s="13"/>
      <c r="BH148" s="13"/>
    </row>
    <row r="149" ht="14.25" customHeight="1">
      <c r="BG149" s="13"/>
      <c r="BH149" s="13"/>
    </row>
    <row r="150" ht="14.25" customHeight="1">
      <c r="BG150" s="13"/>
      <c r="BH150" s="13"/>
    </row>
    <row r="151" ht="14.25" customHeight="1">
      <c r="BG151" s="13"/>
      <c r="BH151" s="13"/>
    </row>
    <row r="152" ht="14.25" customHeight="1">
      <c r="BG152" s="13"/>
      <c r="BH152" s="13"/>
    </row>
    <row r="153" ht="14.25" customHeight="1">
      <c r="BG153" s="13"/>
      <c r="BH153" s="13"/>
    </row>
    <row r="154" ht="14.25" customHeight="1">
      <c r="BG154" s="13"/>
      <c r="BH154" s="13"/>
    </row>
    <row r="155" ht="14.25" customHeight="1">
      <c r="BG155" s="13"/>
      <c r="BH155" s="13"/>
    </row>
    <row r="156" ht="14.25" customHeight="1">
      <c r="BG156" s="13"/>
      <c r="BH156" s="13"/>
    </row>
    <row r="157" ht="14.25" customHeight="1">
      <c r="BG157" s="13"/>
      <c r="BH157" s="13"/>
    </row>
    <row r="158" ht="14.25" customHeight="1">
      <c r="BG158" s="13"/>
      <c r="BH158" s="13"/>
    </row>
    <row r="159" ht="14.25" customHeight="1">
      <c r="BG159" s="13"/>
      <c r="BH159" s="13"/>
    </row>
    <row r="160" ht="14.25" customHeight="1">
      <c r="BG160" s="13"/>
      <c r="BH160" s="13"/>
    </row>
    <row r="161" ht="14.25" customHeight="1">
      <c r="BG161" s="13"/>
      <c r="BH161" s="13"/>
    </row>
    <row r="162" ht="14.25" customHeight="1">
      <c r="BG162" s="13"/>
      <c r="BH162" s="13"/>
    </row>
    <row r="163" ht="14.25" customHeight="1">
      <c r="BG163" s="13"/>
      <c r="BH163" s="13"/>
    </row>
    <row r="164" ht="14.25" customHeight="1">
      <c r="BG164" s="13"/>
      <c r="BH164" s="13"/>
    </row>
    <row r="165" ht="14.25" customHeight="1">
      <c r="BG165" s="13"/>
      <c r="BH165" s="13"/>
    </row>
    <row r="166" ht="14.25" customHeight="1">
      <c r="BG166" s="13"/>
      <c r="BH166" s="13"/>
    </row>
    <row r="167" ht="14.25" customHeight="1">
      <c r="BG167" s="13"/>
      <c r="BH167" s="13"/>
    </row>
    <row r="168" ht="14.25" customHeight="1">
      <c r="BG168" s="13"/>
      <c r="BH168" s="13"/>
    </row>
    <row r="169" ht="14.25" customHeight="1">
      <c r="BG169" s="13"/>
      <c r="BH169" s="13"/>
    </row>
    <row r="170" ht="14.25" customHeight="1">
      <c r="BG170" s="13"/>
      <c r="BH170" s="13"/>
    </row>
    <row r="171" ht="14.25" customHeight="1">
      <c r="BG171" s="13"/>
      <c r="BH171" s="13"/>
    </row>
    <row r="172" ht="14.25" customHeight="1">
      <c r="BG172" s="13"/>
      <c r="BH172" s="13"/>
    </row>
    <row r="173" ht="14.25" customHeight="1">
      <c r="BG173" s="13"/>
      <c r="BH173" s="13"/>
    </row>
    <row r="174" ht="14.25" customHeight="1">
      <c r="BG174" s="13"/>
      <c r="BH174" s="13"/>
    </row>
    <row r="175" ht="14.25" customHeight="1">
      <c r="BG175" s="13"/>
      <c r="BH175" s="13"/>
    </row>
    <row r="176" ht="14.25" customHeight="1">
      <c r="BG176" s="13"/>
      <c r="BH176" s="13"/>
    </row>
    <row r="177" ht="14.25" customHeight="1">
      <c r="BG177" s="13"/>
      <c r="BH177" s="13"/>
    </row>
    <row r="178" ht="14.25" customHeight="1">
      <c r="BG178" s="13"/>
      <c r="BH178" s="13"/>
    </row>
    <row r="179" ht="14.25" customHeight="1">
      <c r="BG179" s="13"/>
      <c r="BH179" s="13"/>
    </row>
    <row r="180" ht="14.25" customHeight="1">
      <c r="BG180" s="13"/>
      <c r="BH180" s="13"/>
    </row>
    <row r="181" ht="14.25" customHeight="1">
      <c r="BG181" s="13"/>
      <c r="BH181" s="13"/>
    </row>
    <row r="182" ht="14.25" customHeight="1">
      <c r="BG182" s="13"/>
      <c r="BH182" s="13"/>
    </row>
    <row r="183" ht="14.25" customHeight="1">
      <c r="BG183" s="13"/>
      <c r="BH183" s="13"/>
    </row>
    <row r="184" ht="14.25" customHeight="1">
      <c r="BG184" s="13"/>
      <c r="BH184" s="13"/>
    </row>
    <row r="185" ht="14.25" customHeight="1">
      <c r="BG185" s="13"/>
      <c r="BH185" s="13"/>
    </row>
    <row r="186" ht="14.25" customHeight="1">
      <c r="BG186" s="13"/>
      <c r="BH186" s="13"/>
    </row>
    <row r="187" ht="14.25" customHeight="1">
      <c r="BG187" s="13"/>
      <c r="BH187" s="13"/>
    </row>
    <row r="188" ht="14.25" customHeight="1">
      <c r="BG188" s="13"/>
      <c r="BH188" s="13"/>
    </row>
    <row r="189" ht="14.25" customHeight="1">
      <c r="BG189" s="13"/>
      <c r="BH189" s="13"/>
    </row>
    <row r="190" ht="14.25" customHeight="1">
      <c r="BG190" s="13"/>
      <c r="BH190" s="13"/>
    </row>
    <row r="191" ht="14.25" customHeight="1">
      <c r="BG191" s="13"/>
      <c r="BH191" s="13"/>
    </row>
    <row r="192" ht="14.25" customHeight="1">
      <c r="BG192" s="13"/>
      <c r="BH192" s="13"/>
    </row>
    <row r="193" ht="14.25" customHeight="1">
      <c r="BG193" s="13"/>
      <c r="BH193" s="13"/>
    </row>
    <row r="194" ht="14.25" customHeight="1">
      <c r="BG194" s="13"/>
      <c r="BH194" s="13"/>
    </row>
    <row r="195" ht="14.25" customHeight="1">
      <c r="BG195" s="13"/>
      <c r="BH195" s="13"/>
    </row>
    <row r="196" ht="14.25" customHeight="1">
      <c r="BG196" s="13"/>
      <c r="BH196" s="13"/>
    </row>
    <row r="197" ht="14.25" customHeight="1">
      <c r="BG197" s="13"/>
      <c r="BH197" s="13"/>
    </row>
    <row r="198" ht="14.25" customHeight="1">
      <c r="BG198" s="13"/>
      <c r="BH198" s="13"/>
    </row>
    <row r="199" ht="14.25" customHeight="1">
      <c r="BG199" s="13"/>
      <c r="BH199" s="13"/>
    </row>
    <row r="200" ht="14.25" customHeight="1">
      <c r="BG200" s="13"/>
      <c r="BH200" s="13"/>
    </row>
    <row r="201" ht="14.25" customHeight="1">
      <c r="BG201" s="13"/>
      <c r="BH201" s="13"/>
    </row>
    <row r="202" ht="14.25" customHeight="1">
      <c r="BG202" s="13"/>
      <c r="BH202" s="13"/>
    </row>
    <row r="203" ht="14.25" customHeight="1">
      <c r="BG203" s="13"/>
      <c r="BH203" s="13"/>
    </row>
    <row r="204" ht="14.25" customHeight="1">
      <c r="BG204" s="13"/>
      <c r="BH204" s="13"/>
    </row>
    <row r="205" ht="14.25" customHeight="1">
      <c r="BG205" s="13"/>
      <c r="BH205" s="13"/>
    </row>
    <row r="206" ht="14.25" customHeight="1">
      <c r="BG206" s="13"/>
      <c r="BH206" s="13"/>
    </row>
    <row r="207" ht="14.25" customHeight="1">
      <c r="BG207" s="13"/>
      <c r="BH207" s="13"/>
    </row>
    <row r="208" ht="14.25" customHeight="1">
      <c r="BG208" s="13"/>
      <c r="BH208" s="13"/>
    </row>
    <row r="209" ht="14.25" customHeight="1">
      <c r="BG209" s="13"/>
      <c r="BH209" s="13"/>
    </row>
    <row r="210" ht="14.25" customHeight="1">
      <c r="BG210" s="13"/>
      <c r="BH210" s="13"/>
    </row>
    <row r="211" ht="14.25" customHeight="1">
      <c r="BG211" s="13"/>
      <c r="BH211" s="13"/>
    </row>
    <row r="212" ht="14.25" customHeight="1">
      <c r="BG212" s="13"/>
      <c r="BH212" s="13"/>
    </row>
    <row r="213" ht="14.25" customHeight="1">
      <c r="BG213" s="13"/>
      <c r="BH213" s="13"/>
    </row>
    <row r="214" ht="14.25" customHeight="1">
      <c r="BG214" s="13"/>
      <c r="BH214" s="13"/>
    </row>
    <row r="215" ht="14.25" customHeight="1">
      <c r="BG215" s="13"/>
      <c r="BH215" s="13"/>
    </row>
    <row r="216" ht="14.25" customHeight="1">
      <c r="BG216" s="13"/>
      <c r="BH216" s="13"/>
    </row>
    <row r="217" ht="14.25" customHeight="1">
      <c r="BG217" s="13"/>
      <c r="BH217" s="13"/>
    </row>
    <row r="218" ht="14.25" customHeight="1">
      <c r="BG218" s="13"/>
      <c r="BH218" s="13"/>
    </row>
    <row r="219" ht="14.25" customHeight="1">
      <c r="BG219" s="13"/>
      <c r="BH219" s="13"/>
    </row>
    <row r="220" ht="14.25" customHeight="1">
      <c r="BG220" s="13"/>
      <c r="BH220" s="13"/>
    </row>
    <row r="221" ht="14.25" customHeight="1">
      <c r="BG221" s="13"/>
      <c r="BH221" s="13"/>
    </row>
    <row r="222" ht="14.25" customHeight="1">
      <c r="BG222" s="13"/>
      <c r="BH222" s="13"/>
    </row>
    <row r="223" ht="14.25" customHeight="1">
      <c r="BG223" s="13"/>
      <c r="BH223" s="13"/>
    </row>
    <row r="224" ht="14.25" customHeight="1">
      <c r="BG224" s="13"/>
      <c r="BH224" s="13"/>
    </row>
    <row r="225" ht="14.25" customHeight="1">
      <c r="BG225" s="13"/>
      <c r="BH225" s="13"/>
    </row>
    <row r="226" ht="14.25" customHeight="1">
      <c r="BG226" s="13"/>
      <c r="BH226" s="13"/>
    </row>
    <row r="227" ht="14.25" customHeight="1">
      <c r="BG227" s="13"/>
      <c r="BH227" s="13"/>
    </row>
    <row r="228" ht="14.25" customHeight="1">
      <c r="BG228" s="13"/>
      <c r="BH228" s="13"/>
    </row>
    <row r="229" ht="14.25" customHeight="1">
      <c r="BG229" s="13"/>
      <c r="BH229" s="13"/>
    </row>
    <row r="230" ht="14.25" customHeight="1">
      <c r="BG230" s="13"/>
      <c r="BH230" s="13"/>
    </row>
    <row r="231" ht="14.25" customHeight="1">
      <c r="BG231" s="13"/>
      <c r="BH231" s="13"/>
    </row>
    <row r="232" ht="14.25" customHeight="1">
      <c r="BG232" s="13"/>
      <c r="BH232" s="13"/>
    </row>
    <row r="233" ht="14.25" customHeight="1">
      <c r="BG233" s="13"/>
      <c r="BH233" s="13"/>
    </row>
    <row r="234" ht="14.25" customHeight="1">
      <c r="BG234" s="13"/>
      <c r="BH234" s="13"/>
    </row>
    <row r="235" ht="14.25" customHeight="1">
      <c r="BG235" s="13"/>
      <c r="BH235" s="13"/>
    </row>
    <row r="236" ht="14.25" customHeight="1">
      <c r="BG236" s="13"/>
      <c r="BH236" s="13"/>
    </row>
    <row r="237" ht="14.25" customHeight="1">
      <c r="BG237" s="13"/>
      <c r="BH237" s="13"/>
    </row>
    <row r="238" ht="14.25" customHeight="1">
      <c r="BG238" s="13"/>
      <c r="BH238" s="13"/>
    </row>
    <row r="239" ht="14.25" customHeight="1">
      <c r="BG239" s="13"/>
      <c r="BH239" s="13"/>
    </row>
    <row r="240" ht="14.25" customHeight="1">
      <c r="BG240" s="13"/>
      <c r="BH240" s="13"/>
    </row>
    <row r="241" ht="14.25" customHeight="1">
      <c r="BG241" s="13"/>
      <c r="BH241" s="13"/>
    </row>
    <row r="242" ht="14.25" customHeight="1">
      <c r="BG242" s="13"/>
      <c r="BH242" s="13"/>
    </row>
    <row r="243" ht="14.25" customHeight="1">
      <c r="BG243" s="13"/>
      <c r="BH243" s="13"/>
    </row>
    <row r="244" ht="14.25" customHeight="1">
      <c r="BG244" s="13"/>
      <c r="BH244" s="13"/>
    </row>
    <row r="245" ht="14.25" customHeight="1">
      <c r="BG245" s="13"/>
      <c r="BH245" s="13"/>
    </row>
    <row r="246" ht="14.25" customHeight="1">
      <c r="BG246" s="13"/>
      <c r="BH246" s="13"/>
    </row>
    <row r="247" ht="14.25" customHeight="1">
      <c r="BG247" s="13"/>
      <c r="BH247" s="13"/>
    </row>
    <row r="248" ht="14.25" customHeight="1">
      <c r="BG248" s="13"/>
      <c r="BH248" s="13"/>
    </row>
    <row r="249" ht="14.25" customHeight="1">
      <c r="BG249" s="13"/>
      <c r="BH249" s="13"/>
    </row>
    <row r="250" ht="14.25" customHeight="1">
      <c r="BG250" s="13"/>
      <c r="BH250" s="13"/>
    </row>
    <row r="251" ht="14.25" customHeight="1">
      <c r="BG251" s="13"/>
      <c r="BH251" s="13"/>
    </row>
    <row r="252" ht="14.25" customHeight="1">
      <c r="BG252" s="13"/>
      <c r="BH252" s="13"/>
    </row>
    <row r="253" ht="14.25" customHeight="1">
      <c r="BG253" s="13"/>
      <c r="BH253" s="13"/>
    </row>
    <row r="254" ht="14.25" customHeight="1">
      <c r="BG254" s="13"/>
      <c r="BH254" s="13"/>
    </row>
    <row r="255" ht="14.25" customHeight="1">
      <c r="BG255" s="13"/>
      <c r="BH255" s="13"/>
    </row>
    <row r="256" ht="14.25" customHeight="1">
      <c r="BG256" s="13"/>
      <c r="BH256" s="13"/>
    </row>
    <row r="257" ht="14.25" customHeight="1">
      <c r="BG257" s="13"/>
      <c r="BH257" s="13"/>
    </row>
    <row r="258" ht="14.25" customHeight="1">
      <c r="BG258" s="13"/>
      <c r="BH258" s="13"/>
    </row>
    <row r="259" ht="14.25" customHeight="1">
      <c r="BG259" s="13"/>
      <c r="BH259" s="13"/>
    </row>
    <row r="260" ht="14.25" customHeight="1">
      <c r="BG260" s="13"/>
      <c r="BH260" s="13"/>
    </row>
    <row r="261" ht="14.25" customHeight="1">
      <c r="BG261" s="13"/>
      <c r="BH261" s="13"/>
    </row>
    <row r="262" ht="14.25" customHeight="1">
      <c r="BG262" s="13"/>
      <c r="BH262" s="13"/>
    </row>
    <row r="263" ht="14.25" customHeight="1">
      <c r="BG263" s="13"/>
      <c r="BH263" s="13"/>
    </row>
    <row r="264" ht="14.25" customHeight="1">
      <c r="BG264" s="13"/>
      <c r="BH264" s="13"/>
    </row>
    <row r="265" ht="14.25" customHeight="1">
      <c r="BG265" s="13"/>
      <c r="BH265" s="13"/>
    </row>
    <row r="266" ht="14.25" customHeight="1">
      <c r="BG266" s="13"/>
      <c r="BH266" s="13"/>
    </row>
    <row r="267" ht="14.25" customHeight="1">
      <c r="BG267" s="13"/>
      <c r="BH267" s="13"/>
    </row>
    <row r="268" ht="14.25" customHeight="1">
      <c r="BG268" s="13"/>
      <c r="BH268" s="13"/>
    </row>
    <row r="269" ht="14.25" customHeight="1">
      <c r="BG269" s="13"/>
      <c r="BH269" s="13"/>
    </row>
    <row r="270" ht="14.25" customHeight="1">
      <c r="BG270" s="13"/>
      <c r="BH270" s="13"/>
    </row>
    <row r="271" ht="14.25" customHeight="1">
      <c r="BG271" s="13"/>
      <c r="BH271" s="13"/>
    </row>
    <row r="272" ht="14.25" customHeight="1">
      <c r="BG272" s="13"/>
      <c r="BH272" s="13"/>
    </row>
    <row r="273" ht="14.25" customHeight="1">
      <c r="BG273" s="13"/>
      <c r="BH273" s="13"/>
    </row>
    <row r="274" ht="14.25" customHeight="1">
      <c r="BG274" s="13"/>
      <c r="BH274" s="13"/>
    </row>
    <row r="275" ht="14.25" customHeight="1">
      <c r="BG275" s="13"/>
      <c r="BH275" s="13"/>
    </row>
    <row r="276" ht="14.25" customHeight="1">
      <c r="BG276" s="13"/>
      <c r="BH276" s="13"/>
    </row>
    <row r="277" ht="14.25" customHeight="1">
      <c r="BG277" s="13"/>
      <c r="BH277" s="13"/>
    </row>
    <row r="278" ht="14.25" customHeight="1">
      <c r="BG278" s="13"/>
      <c r="BH278" s="13"/>
    </row>
    <row r="279" ht="14.25" customHeight="1">
      <c r="BG279" s="13"/>
      <c r="BH279" s="13"/>
    </row>
    <row r="280" ht="14.25" customHeight="1">
      <c r="BG280" s="13"/>
      <c r="BH280" s="13"/>
    </row>
    <row r="281" ht="14.25" customHeight="1">
      <c r="BG281" s="13"/>
      <c r="BH281" s="13"/>
    </row>
    <row r="282" ht="14.25" customHeight="1">
      <c r="BG282" s="13"/>
      <c r="BH282" s="13"/>
    </row>
    <row r="283" ht="14.25" customHeight="1">
      <c r="BG283" s="13"/>
      <c r="BH283" s="13"/>
    </row>
    <row r="284" ht="14.25" customHeight="1">
      <c r="BG284" s="13"/>
      <c r="BH284" s="13"/>
    </row>
    <row r="285" ht="14.25" customHeight="1">
      <c r="BG285" s="13"/>
      <c r="BH285" s="13"/>
    </row>
    <row r="286" ht="14.25" customHeight="1">
      <c r="BG286" s="13"/>
      <c r="BH286" s="13"/>
    </row>
    <row r="287" ht="14.25" customHeight="1">
      <c r="BG287" s="13"/>
      <c r="BH287" s="13"/>
    </row>
    <row r="288" ht="14.25" customHeight="1">
      <c r="BG288" s="13"/>
      <c r="BH288" s="13"/>
    </row>
    <row r="289" ht="14.25" customHeight="1">
      <c r="BG289" s="13"/>
      <c r="BH289" s="13"/>
    </row>
    <row r="290" ht="14.25" customHeight="1">
      <c r="BG290" s="13"/>
      <c r="BH290" s="13"/>
    </row>
    <row r="291" ht="14.25" customHeight="1">
      <c r="BG291" s="13"/>
      <c r="BH291" s="13"/>
    </row>
    <row r="292" ht="14.25" customHeight="1">
      <c r="BG292" s="13"/>
      <c r="BH292" s="13"/>
    </row>
    <row r="293" ht="14.25" customHeight="1">
      <c r="BG293" s="13"/>
      <c r="BH293" s="13"/>
    </row>
    <row r="294" ht="14.25" customHeight="1">
      <c r="BG294" s="13"/>
      <c r="BH294" s="13"/>
    </row>
    <row r="295" ht="14.25" customHeight="1">
      <c r="BG295" s="13"/>
      <c r="BH295" s="13"/>
    </row>
    <row r="296" ht="14.25" customHeight="1">
      <c r="BG296" s="13"/>
      <c r="BH296" s="13"/>
    </row>
    <row r="297" ht="14.25" customHeight="1">
      <c r="BG297" s="13"/>
      <c r="BH297" s="13"/>
    </row>
    <row r="298" ht="14.25" customHeight="1">
      <c r="BG298" s="13"/>
      <c r="BH298" s="13"/>
    </row>
    <row r="299" ht="14.25" customHeight="1">
      <c r="BG299" s="13"/>
      <c r="BH299" s="13"/>
    </row>
    <row r="300" ht="14.25" customHeight="1">
      <c r="BG300" s="13"/>
      <c r="BH300" s="13"/>
    </row>
    <row r="301" ht="14.25" customHeight="1">
      <c r="BG301" s="13"/>
      <c r="BH301" s="13"/>
    </row>
    <row r="302" ht="14.25" customHeight="1">
      <c r="BG302" s="13"/>
      <c r="BH302" s="13"/>
    </row>
    <row r="303" ht="14.25" customHeight="1">
      <c r="BG303" s="13"/>
      <c r="BH303" s="13"/>
    </row>
    <row r="304" ht="14.25" customHeight="1">
      <c r="BG304" s="13"/>
      <c r="BH304" s="13"/>
    </row>
    <row r="305" ht="14.25" customHeight="1">
      <c r="BG305" s="13"/>
      <c r="BH305" s="13"/>
    </row>
    <row r="306" ht="14.25" customHeight="1">
      <c r="BG306" s="13"/>
      <c r="BH306" s="13"/>
    </row>
    <row r="307" ht="14.25" customHeight="1">
      <c r="BG307" s="13"/>
      <c r="BH307" s="13"/>
    </row>
    <row r="308" ht="14.25" customHeight="1">
      <c r="BG308" s="13"/>
      <c r="BH308" s="13"/>
    </row>
    <row r="309" ht="14.25" customHeight="1">
      <c r="BG309" s="13"/>
      <c r="BH309" s="13"/>
    </row>
    <row r="310" ht="14.25" customHeight="1">
      <c r="BG310" s="13"/>
      <c r="BH310" s="13"/>
    </row>
    <row r="311" ht="14.25" customHeight="1">
      <c r="BG311" s="13"/>
      <c r="BH311" s="13"/>
    </row>
    <row r="312" ht="14.25" customHeight="1">
      <c r="BG312" s="13"/>
      <c r="BH312" s="13"/>
    </row>
    <row r="313" ht="14.25" customHeight="1">
      <c r="BG313" s="13"/>
      <c r="BH313" s="13"/>
    </row>
    <row r="314" ht="14.25" customHeight="1">
      <c r="BG314" s="13"/>
      <c r="BH314" s="13"/>
    </row>
    <row r="315" ht="14.25" customHeight="1">
      <c r="BG315" s="13"/>
      <c r="BH315" s="13"/>
    </row>
    <row r="316" ht="14.25" customHeight="1">
      <c r="BG316" s="13"/>
      <c r="BH316" s="13"/>
    </row>
    <row r="317" ht="14.25" customHeight="1">
      <c r="BG317" s="13"/>
      <c r="BH317" s="13"/>
    </row>
    <row r="318" ht="14.25" customHeight="1">
      <c r="BG318" s="13"/>
      <c r="BH318" s="13"/>
    </row>
    <row r="319" ht="14.25" customHeight="1">
      <c r="BG319" s="13"/>
      <c r="BH319" s="13"/>
    </row>
    <row r="320" ht="14.25" customHeight="1">
      <c r="BG320" s="13"/>
      <c r="BH320" s="13"/>
    </row>
    <row r="321" ht="14.25" customHeight="1">
      <c r="BG321" s="13"/>
      <c r="BH321" s="13"/>
    </row>
    <row r="322" ht="14.25" customHeight="1">
      <c r="BG322" s="13"/>
      <c r="BH322" s="13"/>
    </row>
    <row r="323" ht="14.25" customHeight="1">
      <c r="BG323" s="13"/>
      <c r="BH323" s="13"/>
    </row>
    <row r="324" ht="14.25" customHeight="1">
      <c r="BG324" s="13"/>
      <c r="BH324" s="13"/>
    </row>
    <row r="325" ht="14.25" customHeight="1">
      <c r="BG325" s="13"/>
      <c r="BH325" s="13"/>
    </row>
    <row r="326" ht="14.25" customHeight="1">
      <c r="BG326" s="13"/>
      <c r="BH326" s="13"/>
    </row>
    <row r="327" ht="14.25" customHeight="1">
      <c r="BG327" s="13"/>
      <c r="BH327" s="13"/>
    </row>
    <row r="328" ht="14.25" customHeight="1">
      <c r="BG328" s="13"/>
      <c r="BH328" s="13"/>
    </row>
    <row r="329" ht="14.25" customHeight="1">
      <c r="BG329" s="13"/>
      <c r="BH329" s="13"/>
    </row>
    <row r="330" ht="14.25" customHeight="1">
      <c r="BG330" s="13"/>
      <c r="BH330" s="13"/>
    </row>
    <row r="331" ht="14.25" customHeight="1">
      <c r="BG331" s="13"/>
      <c r="BH331" s="13"/>
    </row>
    <row r="332" ht="14.25" customHeight="1">
      <c r="BG332" s="13"/>
      <c r="BH332" s="13"/>
    </row>
    <row r="333" ht="14.25" customHeight="1">
      <c r="BG333" s="13"/>
      <c r="BH333" s="13"/>
    </row>
    <row r="334" ht="14.25" customHeight="1">
      <c r="BG334" s="13"/>
      <c r="BH334" s="13"/>
    </row>
    <row r="335" ht="14.25" customHeight="1">
      <c r="BG335" s="13"/>
      <c r="BH335" s="13"/>
    </row>
    <row r="336" ht="14.25" customHeight="1">
      <c r="BG336" s="13"/>
      <c r="BH336" s="13"/>
    </row>
    <row r="337" ht="14.25" customHeight="1">
      <c r="BG337" s="13"/>
      <c r="BH337" s="13"/>
    </row>
    <row r="338" ht="14.25" customHeight="1">
      <c r="BG338" s="13"/>
      <c r="BH338" s="13"/>
    </row>
    <row r="339" ht="14.25" customHeight="1">
      <c r="BG339" s="13"/>
      <c r="BH339" s="13"/>
    </row>
    <row r="340" ht="14.25" customHeight="1">
      <c r="BG340" s="13"/>
      <c r="BH340" s="13"/>
    </row>
    <row r="341" ht="14.25" customHeight="1">
      <c r="BG341" s="13"/>
      <c r="BH341" s="13"/>
    </row>
    <row r="342" ht="14.25" customHeight="1">
      <c r="BG342" s="13"/>
      <c r="BH342" s="13"/>
    </row>
    <row r="343" ht="14.25" customHeight="1">
      <c r="BG343" s="13"/>
      <c r="BH343" s="13"/>
    </row>
    <row r="344" ht="14.25" customHeight="1">
      <c r="BG344" s="13"/>
      <c r="BH344" s="13"/>
    </row>
    <row r="345" ht="14.25" customHeight="1">
      <c r="BG345" s="13"/>
      <c r="BH345" s="13"/>
    </row>
    <row r="346" ht="14.25" customHeight="1">
      <c r="BG346" s="13"/>
      <c r="BH346" s="13"/>
    </row>
    <row r="347" ht="14.25" customHeight="1">
      <c r="BG347" s="13"/>
      <c r="BH347" s="13"/>
    </row>
    <row r="348" ht="14.25" customHeight="1">
      <c r="BG348" s="13"/>
      <c r="BH348" s="13"/>
    </row>
    <row r="349" ht="14.25" customHeight="1">
      <c r="BG349" s="13"/>
      <c r="BH349" s="13"/>
    </row>
    <row r="350" ht="14.25" customHeight="1">
      <c r="BG350" s="13"/>
      <c r="BH350" s="13"/>
    </row>
    <row r="351" ht="14.25" customHeight="1">
      <c r="BG351" s="13"/>
      <c r="BH351" s="13"/>
    </row>
    <row r="352" ht="14.25" customHeight="1">
      <c r="BG352" s="13"/>
      <c r="BH352" s="13"/>
    </row>
    <row r="353" ht="14.25" customHeight="1">
      <c r="BG353" s="13"/>
      <c r="BH353" s="13"/>
    </row>
    <row r="354" ht="14.25" customHeight="1">
      <c r="BG354" s="13"/>
      <c r="BH354" s="13"/>
    </row>
    <row r="355" ht="14.25" customHeight="1">
      <c r="BG355" s="13"/>
      <c r="BH355" s="13"/>
    </row>
    <row r="356" ht="14.25" customHeight="1">
      <c r="BG356" s="13"/>
      <c r="BH356" s="13"/>
    </row>
    <row r="357" ht="14.25" customHeight="1">
      <c r="BG357" s="13"/>
      <c r="BH357" s="13"/>
    </row>
    <row r="358" ht="14.25" customHeight="1">
      <c r="BG358" s="13"/>
      <c r="BH358" s="13"/>
    </row>
    <row r="359" ht="14.25" customHeight="1">
      <c r="BG359" s="13"/>
      <c r="BH359" s="13"/>
    </row>
    <row r="360" ht="14.25" customHeight="1">
      <c r="BG360" s="13"/>
      <c r="BH360" s="13"/>
    </row>
    <row r="361" ht="14.25" customHeight="1">
      <c r="BG361" s="13"/>
      <c r="BH361" s="13"/>
    </row>
    <row r="362" ht="14.25" customHeight="1">
      <c r="BG362" s="13"/>
      <c r="BH362" s="13"/>
    </row>
    <row r="363" ht="14.25" customHeight="1">
      <c r="BG363" s="13"/>
      <c r="BH363" s="13"/>
    </row>
    <row r="364" ht="14.25" customHeight="1">
      <c r="BG364" s="13"/>
      <c r="BH364" s="13"/>
    </row>
    <row r="365" ht="14.25" customHeight="1">
      <c r="BG365" s="13"/>
      <c r="BH365" s="13"/>
    </row>
    <row r="366" ht="14.25" customHeight="1">
      <c r="BG366" s="13"/>
      <c r="BH366" s="13"/>
    </row>
    <row r="367" ht="14.25" customHeight="1">
      <c r="BG367" s="13"/>
      <c r="BH367" s="13"/>
    </row>
    <row r="368" ht="14.25" customHeight="1">
      <c r="BG368" s="13"/>
      <c r="BH368" s="13"/>
    </row>
    <row r="369" ht="14.25" customHeight="1">
      <c r="BG369" s="13"/>
      <c r="BH369" s="13"/>
    </row>
    <row r="370" ht="14.25" customHeight="1">
      <c r="BG370" s="13"/>
      <c r="BH370" s="13"/>
    </row>
    <row r="371" ht="14.25" customHeight="1">
      <c r="BG371" s="13"/>
      <c r="BH371" s="13"/>
    </row>
    <row r="372" ht="14.25" customHeight="1">
      <c r="BG372" s="13"/>
      <c r="BH372" s="13"/>
    </row>
    <row r="373" ht="14.25" customHeight="1">
      <c r="BG373" s="13"/>
      <c r="BH373" s="13"/>
    </row>
    <row r="374" ht="14.25" customHeight="1">
      <c r="BG374" s="13"/>
      <c r="BH374" s="13"/>
    </row>
    <row r="375" ht="14.25" customHeight="1">
      <c r="BG375" s="13"/>
      <c r="BH375" s="13"/>
    </row>
    <row r="376" ht="14.25" customHeight="1">
      <c r="BG376" s="13"/>
      <c r="BH376" s="13"/>
    </row>
    <row r="377" ht="14.25" customHeight="1">
      <c r="BG377" s="13"/>
      <c r="BH377" s="13"/>
    </row>
    <row r="378" ht="14.25" customHeight="1">
      <c r="BG378" s="13"/>
      <c r="BH378" s="13"/>
    </row>
    <row r="379" ht="14.25" customHeight="1">
      <c r="BG379" s="13"/>
      <c r="BH379" s="13"/>
    </row>
    <row r="380" ht="14.25" customHeight="1">
      <c r="BG380" s="13"/>
      <c r="BH380" s="13"/>
    </row>
    <row r="381" ht="14.25" customHeight="1">
      <c r="BG381" s="13"/>
      <c r="BH381" s="13"/>
    </row>
    <row r="382" ht="14.25" customHeight="1">
      <c r="BG382" s="13"/>
      <c r="BH382" s="13"/>
    </row>
    <row r="383" ht="14.25" customHeight="1">
      <c r="BG383" s="13"/>
      <c r="BH383" s="13"/>
    </row>
    <row r="384" ht="14.25" customHeight="1">
      <c r="BG384" s="13"/>
      <c r="BH384" s="13"/>
    </row>
    <row r="385" ht="14.25" customHeight="1">
      <c r="BG385" s="13"/>
      <c r="BH385" s="13"/>
    </row>
    <row r="386" ht="14.25" customHeight="1">
      <c r="BG386" s="13"/>
      <c r="BH386" s="13"/>
    </row>
    <row r="387" ht="14.25" customHeight="1">
      <c r="BG387" s="13"/>
      <c r="BH387" s="13"/>
    </row>
    <row r="388" ht="14.25" customHeight="1">
      <c r="BG388" s="13"/>
      <c r="BH388" s="13"/>
    </row>
    <row r="389" ht="14.25" customHeight="1">
      <c r="BG389" s="13"/>
      <c r="BH389" s="13"/>
    </row>
    <row r="390" ht="14.25" customHeight="1">
      <c r="BG390" s="13"/>
      <c r="BH390" s="13"/>
    </row>
    <row r="391" ht="14.25" customHeight="1">
      <c r="BG391" s="13"/>
      <c r="BH391" s="13"/>
    </row>
    <row r="392" ht="14.25" customHeight="1">
      <c r="BG392" s="13"/>
      <c r="BH392" s="13"/>
    </row>
    <row r="393" ht="14.25" customHeight="1">
      <c r="BG393" s="13"/>
      <c r="BH393" s="13"/>
    </row>
    <row r="394" ht="14.25" customHeight="1">
      <c r="BG394" s="13"/>
      <c r="BH394" s="13"/>
    </row>
    <row r="395" ht="14.25" customHeight="1">
      <c r="BG395" s="13"/>
      <c r="BH395" s="13"/>
    </row>
    <row r="396" ht="14.25" customHeight="1">
      <c r="BG396" s="13"/>
      <c r="BH396" s="13"/>
    </row>
    <row r="397" ht="14.25" customHeight="1">
      <c r="BG397" s="13"/>
      <c r="BH397" s="13"/>
    </row>
    <row r="398" ht="14.25" customHeight="1">
      <c r="BG398" s="13"/>
      <c r="BH398" s="13"/>
    </row>
    <row r="399" ht="14.25" customHeight="1">
      <c r="BG399" s="13"/>
      <c r="BH399" s="13"/>
    </row>
    <row r="400" ht="14.25" customHeight="1">
      <c r="BG400" s="13"/>
      <c r="BH400" s="13"/>
    </row>
    <row r="401" ht="14.25" customHeight="1">
      <c r="BG401" s="13"/>
      <c r="BH401" s="13"/>
    </row>
    <row r="402" ht="14.25" customHeight="1">
      <c r="BG402" s="13"/>
      <c r="BH402" s="13"/>
    </row>
    <row r="403" ht="14.25" customHeight="1">
      <c r="BG403" s="13"/>
      <c r="BH403" s="13"/>
    </row>
    <row r="404" ht="14.25" customHeight="1">
      <c r="BG404" s="13"/>
      <c r="BH404" s="13"/>
    </row>
    <row r="405" ht="14.25" customHeight="1">
      <c r="BG405" s="13"/>
      <c r="BH405" s="13"/>
    </row>
    <row r="406" ht="14.25" customHeight="1">
      <c r="BG406" s="13"/>
      <c r="BH406" s="13"/>
    </row>
    <row r="407" ht="14.25" customHeight="1">
      <c r="BG407" s="13"/>
      <c r="BH407" s="13"/>
    </row>
    <row r="408" ht="14.25" customHeight="1">
      <c r="BG408" s="13"/>
      <c r="BH408" s="13"/>
    </row>
    <row r="409" ht="14.25" customHeight="1">
      <c r="BG409" s="13"/>
      <c r="BH409" s="13"/>
    </row>
    <row r="410" ht="14.25" customHeight="1">
      <c r="BG410" s="13"/>
      <c r="BH410" s="13"/>
    </row>
    <row r="411" ht="14.25" customHeight="1">
      <c r="BG411" s="13"/>
      <c r="BH411" s="13"/>
    </row>
    <row r="412" ht="14.25" customHeight="1">
      <c r="BG412" s="13"/>
      <c r="BH412" s="13"/>
    </row>
    <row r="413" ht="14.25" customHeight="1">
      <c r="BG413" s="13"/>
      <c r="BH413" s="13"/>
    </row>
    <row r="414" ht="14.25" customHeight="1">
      <c r="BG414" s="13"/>
      <c r="BH414" s="13"/>
    </row>
    <row r="415" ht="14.25" customHeight="1">
      <c r="BG415" s="13"/>
      <c r="BH415" s="13"/>
    </row>
    <row r="416" ht="14.25" customHeight="1">
      <c r="BG416" s="13"/>
      <c r="BH416" s="13"/>
    </row>
    <row r="417" ht="14.25" customHeight="1">
      <c r="BG417" s="13"/>
      <c r="BH417" s="13"/>
    </row>
    <row r="418" ht="14.25" customHeight="1">
      <c r="BG418" s="13"/>
      <c r="BH418" s="13"/>
    </row>
    <row r="419" ht="14.25" customHeight="1">
      <c r="BG419" s="13"/>
      <c r="BH419" s="13"/>
    </row>
    <row r="420" ht="14.25" customHeight="1">
      <c r="BG420" s="13"/>
      <c r="BH420" s="13"/>
    </row>
    <row r="421" ht="14.25" customHeight="1">
      <c r="BG421" s="13"/>
      <c r="BH421" s="13"/>
    </row>
    <row r="422" ht="14.25" customHeight="1">
      <c r="BG422" s="13"/>
      <c r="BH422" s="13"/>
    </row>
    <row r="423" ht="14.25" customHeight="1">
      <c r="BG423" s="13"/>
      <c r="BH423" s="13"/>
    </row>
    <row r="424" ht="14.25" customHeight="1">
      <c r="BG424" s="13"/>
      <c r="BH424" s="13"/>
    </row>
    <row r="425" ht="14.25" customHeight="1">
      <c r="BG425" s="13"/>
      <c r="BH425" s="13"/>
    </row>
    <row r="426" ht="14.25" customHeight="1">
      <c r="BG426" s="13"/>
      <c r="BH426" s="13"/>
    </row>
    <row r="427" ht="14.25" customHeight="1">
      <c r="BG427" s="13"/>
      <c r="BH427" s="13"/>
    </row>
    <row r="428" ht="14.25" customHeight="1">
      <c r="BG428" s="13"/>
      <c r="BH428" s="13"/>
    </row>
    <row r="429" ht="14.25" customHeight="1">
      <c r="BG429" s="13"/>
      <c r="BH429" s="13"/>
    </row>
    <row r="430" ht="14.25" customHeight="1">
      <c r="BG430" s="13"/>
      <c r="BH430" s="13"/>
    </row>
    <row r="431" ht="14.25" customHeight="1">
      <c r="BG431" s="13"/>
      <c r="BH431" s="13"/>
    </row>
    <row r="432" ht="14.25" customHeight="1">
      <c r="BG432" s="13"/>
      <c r="BH432" s="13"/>
    </row>
    <row r="433" ht="14.25" customHeight="1">
      <c r="BG433" s="13"/>
      <c r="BH433" s="13"/>
    </row>
    <row r="434" ht="14.25" customHeight="1">
      <c r="BG434" s="13"/>
      <c r="BH434" s="13"/>
    </row>
    <row r="435" ht="14.25" customHeight="1">
      <c r="BG435" s="13"/>
      <c r="BH435" s="13"/>
    </row>
    <row r="436" ht="14.25" customHeight="1">
      <c r="BG436" s="13"/>
      <c r="BH436" s="13"/>
    </row>
    <row r="437" ht="14.25" customHeight="1">
      <c r="BG437" s="13"/>
      <c r="BH437" s="13"/>
    </row>
    <row r="438" ht="14.25" customHeight="1">
      <c r="BG438" s="13"/>
      <c r="BH438" s="13"/>
    </row>
    <row r="439" ht="14.25" customHeight="1">
      <c r="BG439" s="13"/>
      <c r="BH439" s="13"/>
    </row>
    <row r="440" ht="14.25" customHeight="1">
      <c r="BG440" s="13"/>
      <c r="BH440" s="13"/>
    </row>
    <row r="441" ht="14.25" customHeight="1">
      <c r="BG441" s="13"/>
      <c r="BH441" s="13"/>
    </row>
    <row r="442" ht="14.25" customHeight="1">
      <c r="BG442" s="13"/>
      <c r="BH442" s="13"/>
    </row>
    <row r="443" ht="14.25" customHeight="1">
      <c r="BG443" s="13"/>
      <c r="BH443" s="13"/>
    </row>
    <row r="444" ht="14.25" customHeight="1">
      <c r="BG444" s="13"/>
      <c r="BH444" s="13"/>
    </row>
    <row r="445" ht="14.25" customHeight="1">
      <c r="BG445" s="13"/>
      <c r="BH445" s="13"/>
    </row>
    <row r="446" ht="14.25" customHeight="1">
      <c r="BG446" s="13"/>
      <c r="BH446" s="13"/>
    </row>
    <row r="447" ht="14.25" customHeight="1">
      <c r="BG447" s="13"/>
      <c r="BH447" s="13"/>
    </row>
    <row r="448" ht="14.25" customHeight="1">
      <c r="BG448" s="13"/>
      <c r="BH448" s="13"/>
    </row>
    <row r="449" ht="14.25" customHeight="1">
      <c r="BG449" s="13"/>
      <c r="BH449" s="13"/>
    </row>
    <row r="450" ht="14.25" customHeight="1">
      <c r="BG450" s="13"/>
      <c r="BH450" s="13"/>
    </row>
    <row r="451" ht="14.25" customHeight="1">
      <c r="BG451" s="13"/>
      <c r="BH451" s="13"/>
    </row>
    <row r="452" ht="14.25" customHeight="1">
      <c r="BG452" s="13"/>
      <c r="BH452" s="13"/>
    </row>
    <row r="453" ht="14.25" customHeight="1">
      <c r="BG453" s="13"/>
      <c r="BH453" s="13"/>
    </row>
    <row r="454" ht="14.25" customHeight="1">
      <c r="BG454" s="13"/>
      <c r="BH454" s="13"/>
    </row>
    <row r="455" ht="14.25" customHeight="1">
      <c r="BG455" s="13"/>
      <c r="BH455" s="13"/>
    </row>
    <row r="456" ht="14.25" customHeight="1">
      <c r="BG456" s="13"/>
      <c r="BH456" s="13"/>
    </row>
    <row r="457" ht="14.25" customHeight="1">
      <c r="BG457" s="13"/>
      <c r="BH457" s="13"/>
    </row>
    <row r="458" ht="14.25" customHeight="1">
      <c r="BG458" s="13"/>
      <c r="BH458" s="13"/>
    </row>
    <row r="459" ht="14.25" customHeight="1">
      <c r="BG459" s="13"/>
      <c r="BH459" s="13"/>
    </row>
    <row r="460" ht="14.25" customHeight="1">
      <c r="BG460" s="13"/>
      <c r="BH460" s="13"/>
    </row>
    <row r="461" ht="14.25" customHeight="1">
      <c r="BG461" s="13"/>
      <c r="BH461" s="13"/>
    </row>
    <row r="462" ht="14.25" customHeight="1">
      <c r="BG462" s="13"/>
      <c r="BH462" s="13"/>
    </row>
    <row r="463" ht="14.25" customHeight="1">
      <c r="BG463" s="13"/>
      <c r="BH463" s="13"/>
    </row>
    <row r="464" ht="14.25" customHeight="1">
      <c r="BG464" s="13"/>
      <c r="BH464" s="13"/>
    </row>
    <row r="465" ht="14.25" customHeight="1">
      <c r="BG465" s="13"/>
      <c r="BH465" s="13"/>
    </row>
    <row r="466" ht="14.25" customHeight="1">
      <c r="BG466" s="13"/>
      <c r="BH466" s="13"/>
    </row>
    <row r="467" ht="14.25" customHeight="1">
      <c r="BG467" s="13"/>
      <c r="BH467" s="13"/>
    </row>
    <row r="468" ht="14.25" customHeight="1">
      <c r="BG468" s="13"/>
      <c r="BH468" s="13"/>
    </row>
    <row r="469" ht="14.25" customHeight="1">
      <c r="BG469" s="13"/>
      <c r="BH469" s="13"/>
    </row>
    <row r="470" ht="14.25" customHeight="1">
      <c r="BG470" s="13"/>
      <c r="BH470" s="13"/>
    </row>
    <row r="471" ht="14.25" customHeight="1">
      <c r="BG471" s="13"/>
      <c r="BH471" s="13"/>
    </row>
    <row r="472" ht="14.25" customHeight="1">
      <c r="BG472" s="13"/>
      <c r="BH472" s="13"/>
    </row>
    <row r="473" ht="14.25" customHeight="1">
      <c r="BG473" s="13"/>
      <c r="BH473" s="13"/>
    </row>
    <row r="474" ht="14.25" customHeight="1">
      <c r="BG474" s="13"/>
      <c r="BH474" s="13"/>
    </row>
    <row r="475" ht="14.25" customHeight="1">
      <c r="BG475" s="13"/>
      <c r="BH475" s="13"/>
    </row>
    <row r="476" ht="14.25" customHeight="1">
      <c r="BG476" s="13"/>
      <c r="BH476" s="13"/>
    </row>
    <row r="477" ht="14.25" customHeight="1">
      <c r="BG477" s="13"/>
      <c r="BH477" s="13"/>
    </row>
    <row r="478" ht="14.25" customHeight="1">
      <c r="BG478" s="13"/>
      <c r="BH478" s="13"/>
    </row>
    <row r="479" ht="14.25" customHeight="1">
      <c r="BG479" s="13"/>
      <c r="BH479" s="13"/>
    </row>
    <row r="480" ht="14.25" customHeight="1">
      <c r="BG480" s="13"/>
      <c r="BH480" s="13"/>
    </row>
    <row r="481" ht="14.25" customHeight="1">
      <c r="BG481" s="13"/>
      <c r="BH481" s="13"/>
    </row>
    <row r="482" ht="14.25" customHeight="1">
      <c r="BG482" s="13"/>
      <c r="BH482" s="13"/>
    </row>
    <row r="483" ht="14.25" customHeight="1">
      <c r="BG483" s="13"/>
      <c r="BH483" s="13"/>
    </row>
    <row r="484" ht="14.25" customHeight="1">
      <c r="BG484" s="13"/>
      <c r="BH484" s="13"/>
    </row>
    <row r="485" ht="14.25" customHeight="1">
      <c r="BG485" s="13"/>
      <c r="BH485" s="13"/>
    </row>
    <row r="486" ht="14.25" customHeight="1">
      <c r="BG486" s="13"/>
      <c r="BH486" s="13"/>
    </row>
    <row r="487" ht="14.25" customHeight="1">
      <c r="BG487" s="13"/>
      <c r="BH487" s="13"/>
    </row>
    <row r="488" ht="14.25" customHeight="1">
      <c r="BG488" s="13"/>
      <c r="BH488" s="13"/>
    </row>
    <row r="489" ht="14.25" customHeight="1">
      <c r="BG489" s="13"/>
      <c r="BH489" s="13"/>
    </row>
    <row r="490" ht="14.25" customHeight="1">
      <c r="BG490" s="13"/>
      <c r="BH490" s="13"/>
    </row>
    <row r="491" ht="14.25" customHeight="1">
      <c r="BG491" s="13"/>
      <c r="BH491" s="13"/>
    </row>
    <row r="492" ht="14.25" customHeight="1">
      <c r="BG492" s="13"/>
      <c r="BH492" s="13"/>
    </row>
    <row r="493" ht="14.25" customHeight="1">
      <c r="BG493" s="13"/>
      <c r="BH493" s="13"/>
    </row>
    <row r="494" ht="14.25" customHeight="1">
      <c r="BG494" s="13"/>
      <c r="BH494" s="13"/>
    </row>
    <row r="495" ht="14.25" customHeight="1">
      <c r="BG495" s="13"/>
      <c r="BH495" s="13"/>
    </row>
    <row r="496" ht="14.25" customHeight="1">
      <c r="BG496" s="13"/>
      <c r="BH496" s="13"/>
    </row>
    <row r="497" ht="14.25" customHeight="1">
      <c r="BG497" s="13"/>
      <c r="BH497" s="13"/>
    </row>
    <row r="498" ht="14.25" customHeight="1">
      <c r="BG498" s="13"/>
      <c r="BH498" s="13"/>
    </row>
    <row r="499" ht="14.25" customHeight="1">
      <c r="BG499" s="13"/>
      <c r="BH499" s="13"/>
    </row>
    <row r="500" ht="14.25" customHeight="1">
      <c r="BG500" s="13"/>
      <c r="BH500" s="13"/>
    </row>
    <row r="501" ht="14.25" customHeight="1">
      <c r="BG501" s="13"/>
      <c r="BH501" s="13"/>
    </row>
    <row r="502" ht="14.25" customHeight="1">
      <c r="BG502" s="13"/>
      <c r="BH502" s="13"/>
    </row>
    <row r="503" ht="14.25" customHeight="1">
      <c r="BG503" s="13"/>
      <c r="BH503" s="13"/>
    </row>
    <row r="504" ht="14.25" customHeight="1">
      <c r="BG504" s="13"/>
      <c r="BH504" s="13"/>
    </row>
    <row r="505" ht="14.25" customHeight="1">
      <c r="BG505" s="13"/>
      <c r="BH505" s="13"/>
    </row>
    <row r="506" ht="14.25" customHeight="1">
      <c r="BG506" s="13"/>
      <c r="BH506" s="13"/>
    </row>
    <row r="507" ht="14.25" customHeight="1">
      <c r="BG507" s="13"/>
      <c r="BH507" s="13"/>
    </row>
    <row r="508" ht="14.25" customHeight="1">
      <c r="BG508" s="13"/>
      <c r="BH508" s="13"/>
    </row>
    <row r="509" ht="14.25" customHeight="1">
      <c r="BG509" s="13"/>
      <c r="BH509" s="13"/>
    </row>
    <row r="510" ht="14.25" customHeight="1">
      <c r="BG510" s="13"/>
      <c r="BH510" s="13"/>
    </row>
    <row r="511" ht="14.25" customHeight="1">
      <c r="BG511" s="13"/>
      <c r="BH511" s="13"/>
    </row>
    <row r="512" ht="14.25" customHeight="1">
      <c r="BG512" s="13"/>
      <c r="BH512" s="13"/>
    </row>
    <row r="513" ht="14.25" customHeight="1">
      <c r="BG513" s="13"/>
      <c r="BH513" s="13"/>
    </row>
    <row r="514" ht="14.25" customHeight="1">
      <c r="BG514" s="13"/>
      <c r="BH514" s="13"/>
    </row>
    <row r="515" ht="14.25" customHeight="1">
      <c r="BG515" s="13"/>
      <c r="BH515" s="13"/>
    </row>
    <row r="516" ht="14.25" customHeight="1">
      <c r="BG516" s="13"/>
      <c r="BH516" s="13"/>
    </row>
    <row r="517" ht="14.25" customHeight="1">
      <c r="BG517" s="13"/>
      <c r="BH517" s="13"/>
    </row>
    <row r="518" ht="14.25" customHeight="1">
      <c r="BG518" s="13"/>
      <c r="BH518" s="13"/>
    </row>
    <row r="519" ht="14.25" customHeight="1">
      <c r="BG519" s="13"/>
      <c r="BH519" s="13"/>
    </row>
    <row r="520" ht="14.25" customHeight="1">
      <c r="BG520" s="13"/>
      <c r="BH520" s="13"/>
    </row>
    <row r="521" ht="14.25" customHeight="1">
      <c r="BG521" s="13"/>
      <c r="BH521" s="13"/>
    </row>
    <row r="522" ht="14.25" customHeight="1">
      <c r="BG522" s="13"/>
      <c r="BH522" s="13"/>
    </row>
    <row r="523" ht="14.25" customHeight="1">
      <c r="BG523" s="13"/>
      <c r="BH523" s="13"/>
    </row>
    <row r="524" ht="14.25" customHeight="1">
      <c r="BG524" s="13"/>
      <c r="BH524" s="13"/>
    </row>
    <row r="525" ht="14.25" customHeight="1">
      <c r="BG525" s="13"/>
      <c r="BH525" s="13"/>
    </row>
    <row r="526" ht="14.25" customHeight="1">
      <c r="BG526" s="13"/>
      <c r="BH526" s="13"/>
    </row>
    <row r="527" ht="14.25" customHeight="1">
      <c r="BG527" s="13"/>
      <c r="BH527" s="13"/>
    </row>
    <row r="528" ht="14.25" customHeight="1">
      <c r="BG528" s="13"/>
      <c r="BH528" s="13"/>
    </row>
    <row r="529" ht="14.25" customHeight="1">
      <c r="BG529" s="13"/>
      <c r="BH529" s="13"/>
    </row>
    <row r="530" ht="14.25" customHeight="1">
      <c r="BG530" s="13"/>
      <c r="BH530" s="13"/>
    </row>
    <row r="531" ht="14.25" customHeight="1">
      <c r="BG531" s="13"/>
      <c r="BH531" s="13"/>
    </row>
    <row r="532" ht="14.25" customHeight="1">
      <c r="BG532" s="13"/>
      <c r="BH532" s="13"/>
    </row>
    <row r="533" ht="14.25" customHeight="1">
      <c r="BG533" s="13"/>
      <c r="BH533" s="13"/>
    </row>
    <row r="534" ht="14.25" customHeight="1">
      <c r="BG534" s="13"/>
      <c r="BH534" s="13"/>
    </row>
    <row r="535" ht="14.25" customHeight="1">
      <c r="BG535" s="13"/>
      <c r="BH535" s="13"/>
    </row>
    <row r="536" ht="14.25" customHeight="1">
      <c r="BG536" s="13"/>
      <c r="BH536" s="13"/>
    </row>
    <row r="537" ht="14.25" customHeight="1">
      <c r="BG537" s="13"/>
      <c r="BH537" s="13"/>
    </row>
    <row r="538" ht="14.25" customHeight="1">
      <c r="BG538" s="13"/>
      <c r="BH538" s="13"/>
    </row>
    <row r="539" ht="14.25" customHeight="1">
      <c r="BG539" s="13"/>
      <c r="BH539" s="13"/>
    </row>
    <row r="540" ht="14.25" customHeight="1">
      <c r="BG540" s="13"/>
      <c r="BH540" s="13"/>
    </row>
    <row r="541" ht="14.25" customHeight="1">
      <c r="BG541" s="13"/>
      <c r="BH541" s="13"/>
    </row>
    <row r="542" ht="14.25" customHeight="1">
      <c r="BG542" s="13"/>
      <c r="BH542" s="13"/>
    </row>
    <row r="543" ht="14.25" customHeight="1">
      <c r="BG543" s="13"/>
      <c r="BH543" s="13"/>
    </row>
    <row r="544" ht="14.25" customHeight="1">
      <c r="BG544" s="13"/>
      <c r="BH544" s="13"/>
    </row>
    <row r="545" ht="14.25" customHeight="1">
      <c r="BG545" s="13"/>
      <c r="BH545" s="13"/>
    </row>
    <row r="546" ht="14.25" customHeight="1">
      <c r="BG546" s="13"/>
      <c r="BH546" s="13"/>
    </row>
    <row r="547" ht="14.25" customHeight="1">
      <c r="BG547" s="13"/>
      <c r="BH547" s="13"/>
    </row>
    <row r="548" ht="14.25" customHeight="1">
      <c r="BG548" s="13"/>
      <c r="BH548" s="13"/>
    </row>
    <row r="549" ht="14.25" customHeight="1">
      <c r="BG549" s="13"/>
      <c r="BH549" s="13"/>
    </row>
    <row r="550" ht="14.25" customHeight="1">
      <c r="BG550" s="13"/>
      <c r="BH550" s="13"/>
    </row>
    <row r="551" ht="14.25" customHeight="1">
      <c r="BG551" s="13"/>
      <c r="BH551" s="13"/>
    </row>
    <row r="552" ht="14.25" customHeight="1">
      <c r="BG552" s="13"/>
      <c r="BH552" s="13"/>
    </row>
    <row r="553" ht="14.25" customHeight="1">
      <c r="BG553" s="13"/>
      <c r="BH553" s="13"/>
    </row>
    <row r="554" ht="14.25" customHeight="1">
      <c r="BG554" s="13"/>
      <c r="BH554" s="13"/>
    </row>
    <row r="555" ht="14.25" customHeight="1">
      <c r="BG555" s="13"/>
      <c r="BH555" s="13"/>
    </row>
    <row r="556" ht="14.25" customHeight="1">
      <c r="BG556" s="13"/>
      <c r="BH556" s="13"/>
    </row>
    <row r="557" ht="14.25" customHeight="1">
      <c r="BG557" s="13"/>
      <c r="BH557" s="13"/>
    </row>
    <row r="558" ht="14.25" customHeight="1">
      <c r="BG558" s="13"/>
      <c r="BH558" s="13"/>
    </row>
    <row r="559" ht="14.25" customHeight="1">
      <c r="BG559" s="13"/>
      <c r="BH559" s="13"/>
    </row>
    <row r="560" ht="14.25" customHeight="1">
      <c r="BG560" s="13"/>
      <c r="BH560" s="13"/>
    </row>
    <row r="561" ht="14.25" customHeight="1">
      <c r="BG561" s="13"/>
      <c r="BH561" s="13"/>
    </row>
    <row r="562" ht="14.25" customHeight="1">
      <c r="BG562" s="13"/>
      <c r="BH562" s="13"/>
    </row>
    <row r="563" ht="14.25" customHeight="1">
      <c r="BG563" s="13"/>
      <c r="BH563" s="13"/>
    </row>
    <row r="564" ht="14.25" customHeight="1">
      <c r="BG564" s="13"/>
      <c r="BH564" s="13"/>
    </row>
    <row r="565" ht="14.25" customHeight="1">
      <c r="BG565" s="13"/>
      <c r="BH565" s="13"/>
    </row>
    <row r="566" ht="14.25" customHeight="1">
      <c r="BG566" s="13"/>
      <c r="BH566" s="13"/>
    </row>
    <row r="567" ht="14.25" customHeight="1">
      <c r="BG567" s="13"/>
      <c r="BH567" s="13"/>
    </row>
    <row r="568" ht="14.25" customHeight="1">
      <c r="BG568" s="13"/>
      <c r="BH568" s="13"/>
    </row>
    <row r="569" ht="14.25" customHeight="1">
      <c r="BG569" s="13"/>
      <c r="BH569" s="13"/>
    </row>
    <row r="570" ht="14.25" customHeight="1">
      <c r="BG570" s="13"/>
      <c r="BH570" s="13"/>
    </row>
    <row r="571" ht="14.25" customHeight="1">
      <c r="BG571" s="13"/>
      <c r="BH571" s="13"/>
    </row>
    <row r="572" ht="14.25" customHeight="1">
      <c r="BG572" s="13"/>
      <c r="BH572" s="13"/>
    </row>
    <row r="573" ht="14.25" customHeight="1">
      <c r="BG573" s="13"/>
      <c r="BH573" s="13"/>
    </row>
    <row r="574" ht="14.25" customHeight="1">
      <c r="BG574" s="13"/>
      <c r="BH574" s="13"/>
    </row>
    <row r="575" ht="14.25" customHeight="1">
      <c r="BG575" s="13"/>
      <c r="BH575" s="13"/>
    </row>
    <row r="576" ht="14.25" customHeight="1">
      <c r="BG576" s="13"/>
      <c r="BH576" s="13"/>
    </row>
    <row r="577" ht="14.25" customHeight="1">
      <c r="BG577" s="13"/>
      <c r="BH577" s="13"/>
    </row>
    <row r="578" ht="14.25" customHeight="1">
      <c r="BG578" s="13"/>
      <c r="BH578" s="13"/>
    </row>
    <row r="579" ht="14.25" customHeight="1">
      <c r="BG579" s="13"/>
      <c r="BH579" s="13"/>
    </row>
    <row r="580" ht="14.25" customHeight="1">
      <c r="BG580" s="13"/>
      <c r="BH580" s="13"/>
    </row>
    <row r="581" ht="14.25" customHeight="1">
      <c r="BG581" s="13"/>
      <c r="BH581" s="13"/>
    </row>
    <row r="582" ht="14.25" customHeight="1">
      <c r="BG582" s="13"/>
      <c r="BH582" s="13"/>
    </row>
    <row r="583" ht="14.25" customHeight="1">
      <c r="BG583" s="13"/>
      <c r="BH583" s="13"/>
    </row>
    <row r="584" ht="14.25" customHeight="1">
      <c r="BG584" s="13"/>
      <c r="BH584" s="13"/>
    </row>
    <row r="585" ht="14.25" customHeight="1">
      <c r="BG585" s="13"/>
      <c r="BH585" s="13"/>
    </row>
    <row r="586" ht="14.25" customHeight="1">
      <c r="BG586" s="13"/>
      <c r="BH586" s="13"/>
    </row>
    <row r="587" ht="14.25" customHeight="1">
      <c r="BG587" s="13"/>
      <c r="BH587" s="13"/>
    </row>
    <row r="588" ht="14.25" customHeight="1">
      <c r="BG588" s="13"/>
      <c r="BH588" s="13"/>
    </row>
    <row r="589" ht="14.25" customHeight="1">
      <c r="BG589" s="13"/>
      <c r="BH589" s="13"/>
    </row>
    <row r="590" ht="14.25" customHeight="1">
      <c r="BG590" s="13"/>
      <c r="BH590" s="13"/>
    </row>
    <row r="591" ht="14.25" customHeight="1">
      <c r="BG591" s="13"/>
      <c r="BH591" s="13"/>
    </row>
    <row r="592" ht="14.25" customHeight="1">
      <c r="BG592" s="13"/>
      <c r="BH592" s="13"/>
    </row>
    <row r="593" ht="14.25" customHeight="1">
      <c r="BG593" s="13"/>
      <c r="BH593" s="13"/>
    </row>
    <row r="594" ht="14.25" customHeight="1">
      <c r="BG594" s="13"/>
      <c r="BH594" s="13"/>
    </row>
    <row r="595" ht="14.25" customHeight="1">
      <c r="BG595" s="13"/>
      <c r="BH595" s="13"/>
    </row>
    <row r="596" ht="14.25" customHeight="1">
      <c r="BG596" s="13"/>
      <c r="BH596" s="13"/>
    </row>
    <row r="597" ht="14.25" customHeight="1">
      <c r="BG597" s="13"/>
      <c r="BH597" s="13"/>
    </row>
    <row r="598" ht="14.25" customHeight="1">
      <c r="BG598" s="13"/>
      <c r="BH598" s="13"/>
    </row>
    <row r="599" ht="14.25" customHeight="1">
      <c r="BG599" s="13"/>
      <c r="BH599" s="13"/>
    </row>
    <row r="600" ht="14.25" customHeight="1">
      <c r="BG600" s="13"/>
      <c r="BH600" s="13"/>
    </row>
    <row r="601" ht="14.25" customHeight="1">
      <c r="BG601" s="13"/>
      <c r="BH601" s="13"/>
    </row>
    <row r="602" ht="14.25" customHeight="1">
      <c r="BG602" s="13"/>
      <c r="BH602" s="13"/>
    </row>
    <row r="603" ht="14.25" customHeight="1">
      <c r="BG603" s="13"/>
      <c r="BH603" s="13"/>
    </row>
    <row r="604" ht="14.25" customHeight="1">
      <c r="BG604" s="13"/>
      <c r="BH604" s="13"/>
    </row>
    <row r="605" ht="14.25" customHeight="1">
      <c r="BG605" s="13"/>
      <c r="BH605" s="13"/>
    </row>
    <row r="606" ht="14.25" customHeight="1">
      <c r="BG606" s="13"/>
      <c r="BH606" s="13"/>
    </row>
    <row r="607" ht="14.25" customHeight="1">
      <c r="BG607" s="13"/>
      <c r="BH607" s="13"/>
    </row>
    <row r="608" ht="14.25" customHeight="1">
      <c r="BG608" s="13"/>
      <c r="BH608" s="13"/>
    </row>
    <row r="609" ht="14.25" customHeight="1">
      <c r="BG609" s="13"/>
      <c r="BH609" s="13"/>
    </row>
    <row r="610" ht="14.25" customHeight="1">
      <c r="BG610" s="13"/>
      <c r="BH610" s="13"/>
    </row>
    <row r="611" ht="14.25" customHeight="1">
      <c r="BG611" s="13"/>
      <c r="BH611" s="13"/>
    </row>
    <row r="612" ht="14.25" customHeight="1">
      <c r="BG612" s="13"/>
      <c r="BH612" s="13"/>
    </row>
    <row r="613" ht="14.25" customHeight="1">
      <c r="BG613" s="13"/>
      <c r="BH613" s="13"/>
    </row>
    <row r="614" ht="14.25" customHeight="1">
      <c r="BG614" s="13"/>
      <c r="BH614" s="13"/>
    </row>
    <row r="615" ht="14.25" customHeight="1">
      <c r="BG615" s="13"/>
      <c r="BH615" s="13"/>
    </row>
    <row r="616" ht="14.25" customHeight="1">
      <c r="BG616" s="13"/>
      <c r="BH616" s="13"/>
    </row>
    <row r="617" ht="14.25" customHeight="1">
      <c r="BG617" s="13"/>
      <c r="BH617" s="13"/>
    </row>
    <row r="618" ht="14.25" customHeight="1">
      <c r="BG618" s="13"/>
      <c r="BH618" s="13"/>
    </row>
    <row r="619" ht="14.25" customHeight="1">
      <c r="BG619" s="13"/>
      <c r="BH619" s="13"/>
    </row>
    <row r="620" ht="14.25" customHeight="1">
      <c r="BG620" s="13"/>
      <c r="BH620" s="13"/>
    </row>
    <row r="621" ht="14.25" customHeight="1">
      <c r="BG621" s="13"/>
      <c r="BH621" s="13"/>
    </row>
    <row r="622" ht="14.25" customHeight="1">
      <c r="BG622" s="13"/>
      <c r="BH622" s="13"/>
    </row>
    <row r="623" ht="14.25" customHeight="1">
      <c r="BG623" s="13"/>
      <c r="BH623" s="13"/>
    </row>
    <row r="624" ht="14.25" customHeight="1">
      <c r="BG624" s="13"/>
      <c r="BH624" s="13"/>
    </row>
    <row r="625" ht="14.25" customHeight="1">
      <c r="BG625" s="13"/>
      <c r="BH625" s="13"/>
    </row>
    <row r="626" ht="14.25" customHeight="1">
      <c r="BG626" s="13"/>
      <c r="BH626" s="13"/>
    </row>
    <row r="627" ht="14.25" customHeight="1">
      <c r="BG627" s="13"/>
      <c r="BH627" s="13"/>
    </row>
    <row r="628" ht="14.25" customHeight="1">
      <c r="BG628" s="13"/>
      <c r="BH628" s="13"/>
    </row>
    <row r="629" ht="14.25" customHeight="1">
      <c r="BG629" s="13"/>
      <c r="BH629" s="13"/>
    </row>
    <row r="630" ht="14.25" customHeight="1">
      <c r="BG630" s="13"/>
      <c r="BH630" s="13"/>
    </row>
    <row r="631" ht="14.25" customHeight="1">
      <c r="BG631" s="13"/>
      <c r="BH631" s="13"/>
    </row>
    <row r="632" ht="14.25" customHeight="1">
      <c r="BG632" s="13"/>
      <c r="BH632" s="13"/>
    </row>
    <row r="633" ht="14.25" customHeight="1">
      <c r="BG633" s="13"/>
      <c r="BH633" s="13"/>
    </row>
    <row r="634" ht="14.25" customHeight="1">
      <c r="BG634" s="13"/>
      <c r="BH634" s="13"/>
    </row>
    <row r="635" ht="14.25" customHeight="1">
      <c r="BG635" s="13"/>
      <c r="BH635" s="13"/>
    </row>
    <row r="636" ht="14.25" customHeight="1">
      <c r="BG636" s="13"/>
      <c r="BH636" s="13"/>
    </row>
    <row r="637" ht="14.25" customHeight="1">
      <c r="BG637" s="13"/>
      <c r="BH637" s="13"/>
    </row>
    <row r="638" ht="14.25" customHeight="1">
      <c r="BG638" s="13"/>
      <c r="BH638" s="13"/>
    </row>
    <row r="639" ht="14.25" customHeight="1">
      <c r="BG639" s="13"/>
      <c r="BH639" s="13"/>
    </row>
    <row r="640" ht="14.25" customHeight="1">
      <c r="BG640" s="13"/>
      <c r="BH640" s="13"/>
    </row>
    <row r="641" ht="14.25" customHeight="1">
      <c r="BG641" s="13"/>
      <c r="BH641" s="13"/>
    </row>
    <row r="642" ht="14.25" customHeight="1">
      <c r="BG642" s="13"/>
      <c r="BH642" s="13"/>
    </row>
    <row r="643" ht="14.25" customHeight="1">
      <c r="BG643" s="13"/>
      <c r="BH643" s="13"/>
    </row>
    <row r="644" ht="14.25" customHeight="1">
      <c r="BG644" s="13"/>
      <c r="BH644" s="13"/>
    </row>
    <row r="645" ht="14.25" customHeight="1">
      <c r="BG645" s="13"/>
      <c r="BH645" s="13"/>
    </row>
    <row r="646" ht="14.25" customHeight="1">
      <c r="BG646" s="13"/>
      <c r="BH646" s="13"/>
    </row>
    <row r="647" ht="14.25" customHeight="1">
      <c r="BG647" s="13"/>
      <c r="BH647" s="13"/>
    </row>
    <row r="648" ht="14.25" customHeight="1">
      <c r="BG648" s="13"/>
      <c r="BH648" s="13"/>
    </row>
    <row r="649" ht="14.25" customHeight="1">
      <c r="BG649" s="13"/>
      <c r="BH649" s="13"/>
    </row>
    <row r="650" ht="14.25" customHeight="1">
      <c r="BG650" s="13"/>
      <c r="BH650" s="13"/>
    </row>
    <row r="651" ht="14.25" customHeight="1">
      <c r="BG651" s="13"/>
      <c r="BH651" s="13"/>
    </row>
    <row r="652" ht="14.25" customHeight="1">
      <c r="BG652" s="13"/>
      <c r="BH652" s="13"/>
    </row>
    <row r="653" ht="14.25" customHeight="1">
      <c r="BG653" s="13"/>
      <c r="BH653" s="13"/>
    </row>
    <row r="654" ht="14.25" customHeight="1">
      <c r="BG654" s="13"/>
      <c r="BH654" s="13"/>
    </row>
    <row r="655" ht="14.25" customHeight="1">
      <c r="BG655" s="13"/>
      <c r="BH655" s="13"/>
    </row>
    <row r="656" ht="14.25" customHeight="1">
      <c r="BG656" s="13"/>
      <c r="BH656" s="13"/>
    </row>
    <row r="657" ht="14.25" customHeight="1">
      <c r="BG657" s="13"/>
      <c r="BH657" s="13"/>
    </row>
    <row r="658" ht="14.25" customHeight="1">
      <c r="BG658" s="13"/>
      <c r="BH658" s="13"/>
    </row>
    <row r="659" ht="14.25" customHeight="1">
      <c r="BG659" s="13"/>
      <c r="BH659" s="13"/>
    </row>
    <row r="660" ht="14.25" customHeight="1">
      <c r="BG660" s="13"/>
      <c r="BH660" s="13"/>
    </row>
    <row r="661" ht="14.25" customHeight="1">
      <c r="BG661" s="13"/>
      <c r="BH661" s="13"/>
    </row>
    <row r="662" ht="14.25" customHeight="1">
      <c r="BG662" s="13"/>
      <c r="BH662" s="13"/>
    </row>
    <row r="663" ht="14.25" customHeight="1">
      <c r="BG663" s="13"/>
      <c r="BH663" s="13"/>
    </row>
    <row r="664" ht="14.25" customHeight="1">
      <c r="BG664" s="13"/>
      <c r="BH664" s="13"/>
    </row>
    <row r="665" ht="14.25" customHeight="1">
      <c r="BG665" s="13"/>
      <c r="BH665" s="13"/>
    </row>
    <row r="666" ht="14.25" customHeight="1">
      <c r="BG666" s="13"/>
      <c r="BH666" s="13"/>
    </row>
    <row r="667" ht="14.25" customHeight="1">
      <c r="BG667" s="13"/>
      <c r="BH667" s="13"/>
    </row>
    <row r="668" ht="14.25" customHeight="1">
      <c r="BG668" s="13"/>
      <c r="BH668" s="13"/>
    </row>
    <row r="669" ht="14.25" customHeight="1">
      <c r="BG669" s="13"/>
      <c r="BH669" s="13"/>
    </row>
    <row r="670" ht="14.25" customHeight="1">
      <c r="BG670" s="13"/>
      <c r="BH670" s="13"/>
    </row>
    <row r="671" ht="14.25" customHeight="1">
      <c r="BG671" s="13"/>
      <c r="BH671" s="13"/>
    </row>
    <row r="672" ht="14.25" customHeight="1">
      <c r="BG672" s="13"/>
      <c r="BH672" s="13"/>
    </row>
    <row r="673" ht="14.25" customHeight="1">
      <c r="BG673" s="13"/>
      <c r="BH673" s="13"/>
    </row>
    <row r="674" ht="14.25" customHeight="1">
      <c r="BG674" s="13"/>
      <c r="BH674" s="13"/>
    </row>
    <row r="675" ht="14.25" customHeight="1">
      <c r="BG675" s="13"/>
      <c r="BH675" s="13"/>
    </row>
    <row r="676" ht="14.25" customHeight="1">
      <c r="BG676" s="13"/>
      <c r="BH676" s="13"/>
    </row>
    <row r="677" ht="14.25" customHeight="1">
      <c r="BG677" s="13"/>
      <c r="BH677" s="13"/>
    </row>
    <row r="678" ht="14.25" customHeight="1">
      <c r="BG678" s="13"/>
      <c r="BH678" s="13"/>
    </row>
    <row r="679" ht="14.25" customHeight="1">
      <c r="BG679" s="13"/>
      <c r="BH679" s="13"/>
    </row>
    <row r="680" ht="14.25" customHeight="1">
      <c r="BG680" s="13"/>
      <c r="BH680" s="13"/>
    </row>
    <row r="681" ht="14.25" customHeight="1">
      <c r="BG681" s="13"/>
      <c r="BH681" s="13"/>
    </row>
    <row r="682" ht="14.25" customHeight="1">
      <c r="BG682" s="13"/>
      <c r="BH682" s="13"/>
    </row>
    <row r="683" ht="14.25" customHeight="1">
      <c r="BG683" s="13"/>
      <c r="BH683" s="13"/>
    </row>
    <row r="684" ht="14.25" customHeight="1">
      <c r="BG684" s="13"/>
      <c r="BH684" s="13"/>
    </row>
    <row r="685" ht="14.25" customHeight="1">
      <c r="BG685" s="13"/>
      <c r="BH685" s="13"/>
    </row>
    <row r="686" ht="14.25" customHeight="1">
      <c r="BG686" s="13"/>
      <c r="BH686" s="13"/>
    </row>
    <row r="687" ht="14.25" customHeight="1">
      <c r="BG687" s="13"/>
      <c r="BH687" s="13"/>
    </row>
    <row r="688" ht="14.25" customHeight="1">
      <c r="BG688" s="13"/>
      <c r="BH688" s="13"/>
    </row>
    <row r="689" ht="14.25" customHeight="1">
      <c r="BG689" s="13"/>
      <c r="BH689" s="13"/>
    </row>
    <row r="690" ht="14.25" customHeight="1">
      <c r="BG690" s="13"/>
      <c r="BH690" s="13"/>
    </row>
    <row r="691" ht="14.25" customHeight="1">
      <c r="BG691" s="13"/>
      <c r="BH691" s="13"/>
    </row>
    <row r="692" ht="14.25" customHeight="1">
      <c r="BG692" s="13"/>
      <c r="BH692" s="13"/>
    </row>
    <row r="693" ht="14.25" customHeight="1">
      <c r="BG693" s="13"/>
      <c r="BH693" s="13"/>
    </row>
    <row r="694" ht="14.25" customHeight="1">
      <c r="BG694" s="13"/>
      <c r="BH694" s="13"/>
    </row>
    <row r="695" ht="14.25" customHeight="1">
      <c r="BG695" s="13"/>
      <c r="BH695" s="13"/>
    </row>
    <row r="696" ht="14.25" customHeight="1">
      <c r="BG696" s="13"/>
      <c r="BH696" s="13"/>
    </row>
    <row r="697" ht="14.25" customHeight="1">
      <c r="BG697" s="13"/>
      <c r="BH697" s="13"/>
    </row>
    <row r="698" ht="14.25" customHeight="1">
      <c r="BG698" s="13"/>
      <c r="BH698" s="13"/>
    </row>
    <row r="699" ht="14.25" customHeight="1">
      <c r="BG699" s="13"/>
      <c r="BH699" s="13"/>
    </row>
    <row r="700" ht="14.25" customHeight="1">
      <c r="BG700" s="13"/>
      <c r="BH700" s="13"/>
    </row>
    <row r="701" ht="14.25" customHeight="1">
      <c r="BG701" s="13"/>
      <c r="BH701" s="13"/>
    </row>
    <row r="702" ht="14.25" customHeight="1">
      <c r="BG702" s="13"/>
      <c r="BH702" s="13"/>
    </row>
    <row r="703" ht="14.25" customHeight="1">
      <c r="BG703" s="13"/>
      <c r="BH703" s="13"/>
    </row>
    <row r="704" ht="14.25" customHeight="1">
      <c r="BG704" s="13"/>
      <c r="BH704" s="13"/>
    </row>
    <row r="705" ht="14.25" customHeight="1">
      <c r="BG705" s="13"/>
      <c r="BH705" s="13"/>
    </row>
    <row r="706" ht="14.25" customHeight="1">
      <c r="BG706" s="13"/>
      <c r="BH706" s="13"/>
    </row>
    <row r="707" ht="14.25" customHeight="1">
      <c r="BG707" s="13"/>
      <c r="BH707" s="13"/>
    </row>
    <row r="708" ht="14.25" customHeight="1">
      <c r="BG708" s="13"/>
      <c r="BH708" s="13"/>
    </row>
    <row r="709" ht="14.25" customHeight="1">
      <c r="BG709" s="13"/>
      <c r="BH709" s="13"/>
    </row>
    <row r="710" ht="14.25" customHeight="1">
      <c r="BG710" s="13"/>
      <c r="BH710" s="13"/>
    </row>
    <row r="711" ht="14.25" customHeight="1">
      <c r="BG711" s="13"/>
      <c r="BH711" s="13"/>
    </row>
    <row r="712" ht="14.25" customHeight="1">
      <c r="BG712" s="13"/>
      <c r="BH712" s="13"/>
    </row>
    <row r="713" ht="14.25" customHeight="1">
      <c r="BG713" s="13"/>
      <c r="BH713" s="13"/>
    </row>
    <row r="714" ht="14.25" customHeight="1">
      <c r="BG714" s="13"/>
      <c r="BH714" s="13"/>
    </row>
    <row r="715" ht="14.25" customHeight="1">
      <c r="BG715" s="13"/>
      <c r="BH715" s="13"/>
    </row>
    <row r="716" ht="14.25" customHeight="1">
      <c r="BG716" s="13"/>
      <c r="BH716" s="13"/>
    </row>
    <row r="717" ht="14.25" customHeight="1">
      <c r="BG717" s="13"/>
      <c r="BH717" s="13"/>
    </row>
    <row r="718" ht="14.25" customHeight="1">
      <c r="BG718" s="13"/>
      <c r="BH718" s="13"/>
    </row>
    <row r="719" ht="14.25" customHeight="1">
      <c r="BG719" s="13"/>
      <c r="BH719" s="13"/>
    </row>
    <row r="720" ht="14.25" customHeight="1">
      <c r="BG720" s="13"/>
      <c r="BH720" s="13"/>
    </row>
    <row r="721" ht="14.25" customHeight="1">
      <c r="BG721" s="13"/>
      <c r="BH721" s="13"/>
    </row>
    <row r="722" ht="14.25" customHeight="1">
      <c r="BG722" s="13"/>
      <c r="BH722" s="13"/>
    </row>
    <row r="723" ht="14.25" customHeight="1">
      <c r="BG723" s="13"/>
      <c r="BH723" s="13"/>
    </row>
    <row r="724" ht="14.25" customHeight="1">
      <c r="BG724" s="13"/>
      <c r="BH724" s="13"/>
    </row>
    <row r="725" ht="14.25" customHeight="1">
      <c r="BG725" s="13"/>
      <c r="BH725" s="13"/>
    </row>
    <row r="726" ht="14.25" customHeight="1">
      <c r="BG726" s="13"/>
      <c r="BH726" s="13"/>
    </row>
    <row r="727" ht="14.25" customHeight="1">
      <c r="BG727" s="13"/>
      <c r="BH727" s="13"/>
    </row>
    <row r="728" ht="14.25" customHeight="1">
      <c r="BG728" s="13"/>
      <c r="BH728" s="13"/>
    </row>
    <row r="729" ht="14.25" customHeight="1">
      <c r="BG729" s="13"/>
      <c r="BH729" s="13"/>
    </row>
    <row r="730" ht="14.25" customHeight="1">
      <c r="BG730" s="13"/>
      <c r="BH730" s="13"/>
    </row>
    <row r="731" ht="14.25" customHeight="1">
      <c r="BG731" s="13"/>
      <c r="BH731" s="13"/>
    </row>
    <row r="732" ht="14.25" customHeight="1">
      <c r="BG732" s="13"/>
      <c r="BH732" s="13"/>
    </row>
    <row r="733" ht="14.25" customHeight="1">
      <c r="BG733" s="13"/>
      <c r="BH733" s="13"/>
    </row>
    <row r="734" ht="14.25" customHeight="1">
      <c r="BG734" s="13"/>
      <c r="BH734" s="13"/>
    </row>
    <row r="735" ht="14.25" customHeight="1">
      <c r="BG735" s="13"/>
      <c r="BH735" s="13"/>
    </row>
    <row r="736" ht="14.25" customHeight="1">
      <c r="BG736" s="13"/>
      <c r="BH736" s="13"/>
    </row>
    <row r="737" ht="14.25" customHeight="1">
      <c r="BG737" s="13"/>
      <c r="BH737" s="13"/>
    </row>
    <row r="738" ht="14.25" customHeight="1">
      <c r="BG738" s="13"/>
      <c r="BH738" s="13"/>
    </row>
    <row r="739" ht="14.25" customHeight="1">
      <c r="BG739" s="13"/>
      <c r="BH739" s="13"/>
    </row>
    <row r="740" ht="14.25" customHeight="1">
      <c r="BG740" s="13"/>
      <c r="BH740" s="13"/>
    </row>
    <row r="741" ht="14.25" customHeight="1">
      <c r="BG741" s="13"/>
      <c r="BH741" s="13"/>
    </row>
    <row r="742" ht="14.25" customHeight="1">
      <c r="BG742" s="13"/>
      <c r="BH742" s="13"/>
    </row>
    <row r="743" ht="14.25" customHeight="1">
      <c r="BG743" s="13"/>
      <c r="BH743" s="13"/>
    </row>
    <row r="744" ht="14.25" customHeight="1">
      <c r="BG744" s="13"/>
      <c r="BH744" s="13"/>
    </row>
    <row r="745" ht="14.25" customHeight="1">
      <c r="BG745" s="13"/>
      <c r="BH745" s="13"/>
    </row>
    <row r="746" ht="14.25" customHeight="1">
      <c r="BG746" s="13"/>
      <c r="BH746" s="13"/>
    </row>
    <row r="747" ht="14.25" customHeight="1">
      <c r="BG747" s="13"/>
      <c r="BH747" s="13"/>
    </row>
    <row r="748" ht="14.25" customHeight="1">
      <c r="BG748" s="13"/>
      <c r="BH748" s="13"/>
    </row>
    <row r="749" ht="14.25" customHeight="1">
      <c r="BG749" s="13"/>
      <c r="BH749" s="13"/>
    </row>
    <row r="750" ht="14.25" customHeight="1">
      <c r="BG750" s="13"/>
      <c r="BH750" s="13"/>
    </row>
    <row r="751" ht="14.25" customHeight="1">
      <c r="BG751" s="13"/>
      <c r="BH751" s="13"/>
    </row>
    <row r="752" ht="14.25" customHeight="1">
      <c r="BG752" s="13"/>
      <c r="BH752" s="13"/>
    </row>
    <row r="753" ht="14.25" customHeight="1">
      <c r="BG753" s="13"/>
      <c r="BH753" s="13"/>
    </row>
    <row r="754" ht="14.25" customHeight="1">
      <c r="BG754" s="13"/>
      <c r="BH754" s="13"/>
    </row>
    <row r="755" ht="14.25" customHeight="1">
      <c r="BG755" s="13"/>
      <c r="BH755" s="13"/>
    </row>
    <row r="756" ht="14.25" customHeight="1">
      <c r="BG756" s="13"/>
      <c r="BH756" s="13"/>
    </row>
    <row r="757" ht="14.25" customHeight="1">
      <c r="BG757" s="13"/>
      <c r="BH757" s="13"/>
    </row>
    <row r="758" ht="14.25" customHeight="1">
      <c r="BG758" s="13"/>
      <c r="BH758" s="13"/>
    </row>
    <row r="759" ht="14.25" customHeight="1">
      <c r="BG759" s="13"/>
      <c r="BH759" s="13"/>
    </row>
    <row r="760" ht="14.25" customHeight="1">
      <c r="BG760" s="13"/>
      <c r="BH760" s="13"/>
    </row>
    <row r="761" ht="14.25" customHeight="1">
      <c r="BG761" s="13"/>
      <c r="BH761" s="13"/>
    </row>
    <row r="762" ht="14.25" customHeight="1">
      <c r="BG762" s="13"/>
      <c r="BH762" s="13"/>
    </row>
    <row r="763" ht="14.25" customHeight="1">
      <c r="BG763" s="13"/>
      <c r="BH763" s="13"/>
    </row>
    <row r="764" ht="14.25" customHeight="1">
      <c r="BG764" s="13"/>
      <c r="BH764" s="13"/>
    </row>
    <row r="765" ht="14.25" customHeight="1">
      <c r="BG765" s="13"/>
      <c r="BH765" s="13"/>
    </row>
    <row r="766" ht="14.25" customHeight="1">
      <c r="BG766" s="13"/>
      <c r="BH766" s="13"/>
    </row>
    <row r="767" ht="14.25" customHeight="1">
      <c r="BG767" s="13"/>
      <c r="BH767" s="13"/>
    </row>
    <row r="768" ht="14.25" customHeight="1">
      <c r="BG768" s="13"/>
      <c r="BH768" s="13"/>
    </row>
    <row r="769" ht="14.25" customHeight="1">
      <c r="BG769" s="13"/>
      <c r="BH769" s="13"/>
    </row>
    <row r="770" ht="14.25" customHeight="1">
      <c r="BG770" s="13"/>
      <c r="BH770" s="13"/>
    </row>
    <row r="771" ht="14.25" customHeight="1">
      <c r="BG771" s="13"/>
      <c r="BH771" s="13"/>
    </row>
    <row r="772" ht="14.25" customHeight="1">
      <c r="BG772" s="13"/>
      <c r="BH772" s="13"/>
    </row>
    <row r="773" ht="14.25" customHeight="1">
      <c r="BG773" s="13"/>
      <c r="BH773" s="13"/>
    </row>
    <row r="774" ht="14.25" customHeight="1">
      <c r="BG774" s="13"/>
      <c r="BH774" s="13"/>
    </row>
    <row r="775" ht="14.25" customHeight="1">
      <c r="BG775" s="13"/>
      <c r="BH775" s="13"/>
    </row>
    <row r="776" ht="14.25" customHeight="1">
      <c r="BG776" s="13"/>
      <c r="BH776" s="13"/>
    </row>
    <row r="777" ht="14.25" customHeight="1">
      <c r="BG777" s="13"/>
      <c r="BH777" s="13"/>
    </row>
    <row r="778" ht="14.25" customHeight="1">
      <c r="BG778" s="13"/>
      <c r="BH778" s="13"/>
    </row>
    <row r="779" ht="14.25" customHeight="1">
      <c r="BG779" s="13"/>
      <c r="BH779" s="13"/>
    </row>
    <row r="780" ht="14.25" customHeight="1">
      <c r="BG780" s="13"/>
      <c r="BH780" s="13"/>
    </row>
    <row r="781" ht="14.25" customHeight="1">
      <c r="BG781" s="13"/>
      <c r="BH781" s="13"/>
    </row>
    <row r="782" ht="14.25" customHeight="1">
      <c r="BG782" s="13"/>
      <c r="BH782" s="13"/>
    </row>
    <row r="783" ht="14.25" customHeight="1">
      <c r="BG783" s="13"/>
      <c r="BH783" s="13"/>
    </row>
    <row r="784" ht="14.25" customHeight="1">
      <c r="BG784" s="13"/>
      <c r="BH784" s="13"/>
    </row>
    <row r="785" ht="14.25" customHeight="1">
      <c r="BG785" s="13"/>
      <c r="BH785" s="13"/>
    </row>
    <row r="786" ht="14.25" customHeight="1">
      <c r="BG786" s="13"/>
      <c r="BH786" s="13"/>
    </row>
    <row r="787" ht="14.25" customHeight="1">
      <c r="BG787" s="13"/>
      <c r="BH787" s="13"/>
    </row>
    <row r="788" ht="14.25" customHeight="1">
      <c r="BG788" s="13"/>
      <c r="BH788" s="13"/>
    </row>
    <row r="789" ht="14.25" customHeight="1">
      <c r="BG789" s="13"/>
      <c r="BH789" s="13"/>
    </row>
    <row r="790" ht="14.25" customHeight="1">
      <c r="BG790" s="13"/>
      <c r="BH790" s="13"/>
    </row>
    <row r="791" ht="14.25" customHeight="1">
      <c r="BG791" s="13"/>
      <c r="BH791" s="13"/>
    </row>
    <row r="792" ht="14.25" customHeight="1">
      <c r="BG792" s="13"/>
      <c r="BH792" s="13"/>
    </row>
    <row r="793" ht="14.25" customHeight="1">
      <c r="BG793" s="13"/>
      <c r="BH793" s="13"/>
    </row>
    <row r="794" ht="14.25" customHeight="1">
      <c r="BG794" s="13"/>
      <c r="BH794" s="13"/>
    </row>
    <row r="795" ht="14.25" customHeight="1">
      <c r="BG795" s="13"/>
      <c r="BH795" s="13"/>
    </row>
    <row r="796" ht="14.25" customHeight="1">
      <c r="BG796" s="13"/>
      <c r="BH796" s="13"/>
    </row>
    <row r="797" ht="14.25" customHeight="1">
      <c r="BG797" s="13"/>
      <c r="BH797" s="13"/>
    </row>
    <row r="798" ht="14.25" customHeight="1">
      <c r="BG798" s="13"/>
      <c r="BH798" s="13"/>
    </row>
    <row r="799" ht="14.25" customHeight="1">
      <c r="BG799" s="13"/>
      <c r="BH799" s="13"/>
    </row>
    <row r="800" ht="14.25" customHeight="1">
      <c r="BG800" s="13"/>
      <c r="BH800" s="13"/>
    </row>
    <row r="801" ht="14.25" customHeight="1">
      <c r="BG801" s="13"/>
      <c r="BH801" s="13"/>
    </row>
    <row r="802" ht="14.25" customHeight="1">
      <c r="BG802" s="13"/>
      <c r="BH802" s="13"/>
    </row>
    <row r="803" ht="14.25" customHeight="1">
      <c r="BG803" s="13"/>
      <c r="BH803" s="13"/>
    </row>
    <row r="804" ht="14.25" customHeight="1">
      <c r="BG804" s="13"/>
      <c r="BH804" s="13"/>
    </row>
    <row r="805" ht="14.25" customHeight="1">
      <c r="BG805" s="13"/>
      <c r="BH805" s="13"/>
    </row>
    <row r="806" ht="14.25" customHeight="1">
      <c r="BG806" s="13"/>
      <c r="BH806" s="13"/>
    </row>
    <row r="807" ht="14.25" customHeight="1">
      <c r="BG807" s="13"/>
      <c r="BH807" s="13"/>
    </row>
    <row r="808" ht="14.25" customHeight="1">
      <c r="BG808" s="13"/>
      <c r="BH808" s="13"/>
    </row>
    <row r="809" ht="14.25" customHeight="1">
      <c r="BG809" s="13"/>
      <c r="BH809" s="13"/>
    </row>
    <row r="810" ht="14.25" customHeight="1">
      <c r="BG810" s="13"/>
      <c r="BH810" s="13"/>
    </row>
    <row r="811" ht="14.25" customHeight="1">
      <c r="BG811" s="13"/>
      <c r="BH811" s="13"/>
    </row>
    <row r="812" ht="14.25" customHeight="1">
      <c r="BG812" s="13"/>
      <c r="BH812" s="13"/>
    </row>
    <row r="813" ht="14.25" customHeight="1">
      <c r="BG813" s="13"/>
      <c r="BH813" s="13"/>
    </row>
    <row r="814" ht="14.25" customHeight="1">
      <c r="BG814" s="13"/>
      <c r="BH814" s="13"/>
    </row>
    <row r="815" ht="14.25" customHeight="1">
      <c r="BG815" s="13"/>
      <c r="BH815" s="13"/>
    </row>
    <row r="816" ht="14.25" customHeight="1">
      <c r="BG816" s="13"/>
      <c r="BH816" s="13"/>
    </row>
    <row r="817" ht="14.25" customHeight="1">
      <c r="BG817" s="13"/>
      <c r="BH817" s="13"/>
    </row>
    <row r="818" ht="14.25" customHeight="1">
      <c r="BG818" s="13"/>
      <c r="BH818" s="13"/>
    </row>
    <row r="819" ht="14.25" customHeight="1">
      <c r="BG819" s="13"/>
      <c r="BH819" s="13"/>
    </row>
    <row r="820" ht="14.25" customHeight="1">
      <c r="BG820" s="13"/>
      <c r="BH820" s="13"/>
    </row>
    <row r="821" ht="14.25" customHeight="1">
      <c r="BG821" s="13"/>
      <c r="BH821" s="13"/>
    </row>
    <row r="822" ht="14.25" customHeight="1">
      <c r="BG822" s="13"/>
      <c r="BH822" s="13"/>
    </row>
    <row r="823" ht="14.25" customHeight="1">
      <c r="BG823" s="13"/>
      <c r="BH823" s="13"/>
    </row>
    <row r="824" ht="14.25" customHeight="1">
      <c r="BG824" s="13"/>
      <c r="BH824" s="13"/>
    </row>
    <row r="825" ht="14.25" customHeight="1">
      <c r="BG825" s="13"/>
      <c r="BH825" s="13"/>
    </row>
    <row r="826" ht="14.25" customHeight="1">
      <c r="BG826" s="13"/>
      <c r="BH826" s="13"/>
    </row>
    <row r="827" ht="14.25" customHeight="1">
      <c r="BG827" s="13"/>
      <c r="BH827" s="13"/>
    </row>
    <row r="828" ht="14.25" customHeight="1">
      <c r="BG828" s="13"/>
      <c r="BH828" s="13"/>
    </row>
    <row r="829" ht="14.25" customHeight="1">
      <c r="BG829" s="13"/>
      <c r="BH829" s="13"/>
    </row>
    <row r="830" ht="14.25" customHeight="1">
      <c r="BG830" s="13"/>
      <c r="BH830" s="13"/>
    </row>
    <row r="831" ht="14.25" customHeight="1">
      <c r="BG831" s="13"/>
      <c r="BH831" s="13"/>
    </row>
    <row r="832" ht="14.25" customHeight="1">
      <c r="BG832" s="13"/>
      <c r="BH832" s="13"/>
    </row>
    <row r="833" ht="14.25" customHeight="1">
      <c r="BG833" s="13"/>
      <c r="BH833" s="13"/>
    </row>
    <row r="834" ht="14.25" customHeight="1">
      <c r="BG834" s="13"/>
      <c r="BH834" s="13"/>
    </row>
    <row r="835" ht="14.25" customHeight="1">
      <c r="BG835" s="13"/>
      <c r="BH835" s="13"/>
    </row>
    <row r="836" ht="14.25" customHeight="1">
      <c r="BG836" s="13"/>
      <c r="BH836" s="13"/>
    </row>
    <row r="837" ht="14.25" customHeight="1">
      <c r="BG837" s="13"/>
      <c r="BH837" s="13"/>
    </row>
    <row r="838" ht="14.25" customHeight="1">
      <c r="BG838" s="13"/>
      <c r="BH838" s="13"/>
    </row>
    <row r="839" ht="14.25" customHeight="1">
      <c r="BG839" s="13"/>
      <c r="BH839" s="13"/>
    </row>
    <row r="840" ht="14.25" customHeight="1">
      <c r="BG840" s="13"/>
      <c r="BH840" s="13"/>
    </row>
    <row r="841" ht="14.25" customHeight="1">
      <c r="BG841" s="13"/>
      <c r="BH841" s="13"/>
    </row>
    <row r="842" ht="14.25" customHeight="1">
      <c r="BG842" s="13"/>
      <c r="BH842" s="13"/>
    </row>
    <row r="843" ht="14.25" customHeight="1">
      <c r="BG843" s="13"/>
      <c r="BH843" s="13"/>
    </row>
    <row r="844" ht="14.25" customHeight="1">
      <c r="BG844" s="13"/>
      <c r="BH844" s="13"/>
    </row>
    <row r="845" ht="14.25" customHeight="1">
      <c r="BG845" s="13"/>
      <c r="BH845" s="13"/>
    </row>
    <row r="846" ht="14.25" customHeight="1">
      <c r="BG846" s="13"/>
      <c r="BH846" s="13"/>
    </row>
    <row r="847" ht="14.25" customHeight="1">
      <c r="BG847" s="13"/>
      <c r="BH847" s="13"/>
    </row>
    <row r="848" ht="14.25" customHeight="1">
      <c r="BG848" s="13"/>
      <c r="BH848" s="13"/>
    </row>
    <row r="849" ht="14.25" customHeight="1">
      <c r="BG849" s="13"/>
      <c r="BH849" s="13"/>
    </row>
    <row r="850" ht="14.25" customHeight="1">
      <c r="BG850" s="13"/>
      <c r="BH850" s="13"/>
    </row>
    <row r="851" ht="14.25" customHeight="1">
      <c r="BG851" s="13"/>
      <c r="BH851" s="13"/>
    </row>
    <row r="852" ht="14.25" customHeight="1">
      <c r="BG852" s="13"/>
      <c r="BH852" s="13"/>
    </row>
    <row r="853" ht="14.25" customHeight="1">
      <c r="BG853" s="13"/>
      <c r="BH853" s="13"/>
    </row>
    <row r="854" ht="14.25" customHeight="1">
      <c r="BG854" s="13"/>
      <c r="BH854" s="13"/>
    </row>
    <row r="855" ht="14.25" customHeight="1">
      <c r="BG855" s="13"/>
      <c r="BH855" s="13"/>
    </row>
    <row r="856" ht="14.25" customHeight="1">
      <c r="BG856" s="13"/>
      <c r="BH856" s="13"/>
    </row>
    <row r="857" ht="14.25" customHeight="1">
      <c r="BG857" s="13"/>
      <c r="BH857" s="13"/>
    </row>
    <row r="858" ht="14.25" customHeight="1">
      <c r="BG858" s="13"/>
      <c r="BH858" s="13"/>
    </row>
    <row r="859" ht="14.25" customHeight="1">
      <c r="BG859" s="13"/>
      <c r="BH859" s="13"/>
    </row>
    <row r="860" ht="14.25" customHeight="1">
      <c r="BG860" s="13"/>
      <c r="BH860" s="13"/>
    </row>
    <row r="861" ht="14.25" customHeight="1">
      <c r="BG861" s="13"/>
      <c r="BH861" s="13"/>
    </row>
    <row r="862" ht="14.25" customHeight="1">
      <c r="BG862" s="13"/>
      <c r="BH862" s="13"/>
    </row>
    <row r="863" ht="14.25" customHeight="1">
      <c r="BG863" s="13"/>
      <c r="BH863" s="13"/>
    </row>
    <row r="864" ht="14.25" customHeight="1">
      <c r="BG864" s="13"/>
      <c r="BH864" s="13"/>
    </row>
    <row r="865" ht="14.25" customHeight="1">
      <c r="BG865" s="13"/>
      <c r="BH865" s="13"/>
    </row>
    <row r="866" ht="14.25" customHeight="1">
      <c r="BG866" s="13"/>
      <c r="BH866" s="13"/>
    </row>
    <row r="867" ht="14.25" customHeight="1">
      <c r="BG867" s="13"/>
      <c r="BH867" s="13"/>
    </row>
    <row r="868" ht="14.25" customHeight="1">
      <c r="BG868" s="13"/>
      <c r="BH868" s="13"/>
    </row>
    <row r="869" ht="14.25" customHeight="1">
      <c r="BG869" s="13"/>
      <c r="BH869" s="13"/>
    </row>
    <row r="870" ht="14.25" customHeight="1">
      <c r="BG870" s="13"/>
      <c r="BH870" s="13"/>
    </row>
    <row r="871" ht="14.25" customHeight="1">
      <c r="BG871" s="13"/>
      <c r="BH871" s="13"/>
    </row>
    <row r="872" ht="14.25" customHeight="1">
      <c r="BG872" s="13"/>
      <c r="BH872" s="13"/>
    </row>
    <row r="873" ht="14.25" customHeight="1">
      <c r="BG873" s="13"/>
      <c r="BH873" s="13"/>
    </row>
    <row r="874" ht="14.25" customHeight="1">
      <c r="BG874" s="13"/>
      <c r="BH874" s="13"/>
    </row>
    <row r="875" ht="14.25" customHeight="1">
      <c r="BG875" s="13"/>
      <c r="BH875" s="13"/>
    </row>
    <row r="876" ht="14.25" customHeight="1">
      <c r="BG876" s="13"/>
      <c r="BH876" s="13"/>
    </row>
    <row r="877" ht="14.25" customHeight="1">
      <c r="BG877" s="13"/>
      <c r="BH877" s="13"/>
    </row>
    <row r="878" ht="14.25" customHeight="1">
      <c r="BG878" s="13"/>
      <c r="BH878" s="13"/>
    </row>
    <row r="879" ht="14.25" customHeight="1">
      <c r="BG879" s="13"/>
      <c r="BH879" s="13"/>
    </row>
    <row r="880" ht="14.25" customHeight="1">
      <c r="BG880" s="13"/>
      <c r="BH880" s="13"/>
    </row>
    <row r="881" ht="14.25" customHeight="1">
      <c r="BG881" s="13"/>
      <c r="BH881" s="13"/>
    </row>
    <row r="882" ht="14.25" customHeight="1">
      <c r="BG882" s="13"/>
      <c r="BH882" s="13"/>
    </row>
    <row r="883" ht="14.25" customHeight="1">
      <c r="BG883" s="13"/>
      <c r="BH883" s="13"/>
    </row>
    <row r="884" ht="14.25" customHeight="1">
      <c r="BG884" s="13"/>
      <c r="BH884" s="13"/>
    </row>
    <row r="885" ht="14.25" customHeight="1">
      <c r="BG885" s="13"/>
      <c r="BH885" s="13"/>
    </row>
    <row r="886" ht="14.25" customHeight="1">
      <c r="BG886" s="13"/>
      <c r="BH886" s="13"/>
    </row>
    <row r="887" ht="14.25" customHeight="1">
      <c r="BG887" s="13"/>
      <c r="BH887" s="13"/>
    </row>
    <row r="888" ht="14.25" customHeight="1">
      <c r="BG888" s="13"/>
      <c r="BH888" s="13"/>
    </row>
    <row r="889" ht="14.25" customHeight="1">
      <c r="BG889" s="13"/>
      <c r="BH889" s="13"/>
    </row>
    <row r="890" ht="14.25" customHeight="1">
      <c r="BG890" s="13"/>
      <c r="BH890" s="13"/>
    </row>
    <row r="891" ht="14.25" customHeight="1">
      <c r="BG891" s="13"/>
      <c r="BH891" s="13"/>
    </row>
    <row r="892" ht="14.25" customHeight="1">
      <c r="BG892" s="13"/>
      <c r="BH892" s="13"/>
    </row>
    <row r="893" ht="14.25" customHeight="1">
      <c r="BG893" s="13"/>
      <c r="BH893" s="13"/>
    </row>
    <row r="894" ht="14.25" customHeight="1">
      <c r="BG894" s="13"/>
      <c r="BH894" s="13"/>
    </row>
    <row r="895" ht="14.25" customHeight="1">
      <c r="BG895" s="13"/>
      <c r="BH895" s="13"/>
    </row>
    <row r="896" ht="14.25" customHeight="1">
      <c r="BG896" s="13"/>
      <c r="BH896" s="13"/>
    </row>
    <row r="897" ht="14.25" customHeight="1">
      <c r="BG897" s="13"/>
      <c r="BH897" s="13"/>
    </row>
    <row r="898" ht="14.25" customHeight="1">
      <c r="BG898" s="13"/>
      <c r="BH898" s="13"/>
    </row>
    <row r="899" ht="14.25" customHeight="1">
      <c r="BG899" s="13"/>
      <c r="BH899" s="13"/>
    </row>
    <row r="900" ht="14.25" customHeight="1">
      <c r="BG900" s="13"/>
      <c r="BH900" s="13"/>
    </row>
    <row r="901" ht="14.25" customHeight="1">
      <c r="BG901" s="13"/>
      <c r="BH901" s="13"/>
    </row>
    <row r="902" ht="14.25" customHeight="1">
      <c r="BG902" s="13"/>
      <c r="BH902" s="13"/>
    </row>
    <row r="903" ht="14.25" customHeight="1">
      <c r="BG903" s="13"/>
      <c r="BH903" s="13"/>
    </row>
    <row r="904" ht="14.25" customHeight="1">
      <c r="BG904" s="13"/>
      <c r="BH904" s="13"/>
    </row>
    <row r="905" ht="14.25" customHeight="1">
      <c r="BG905" s="13"/>
      <c r="BH905" s="13"/>
    </row>
    <row r="906" ht="14.25" customHeight="1">
      <c r="BG906" s="13"/>
      <c r="BH906" s="13"/>
    </row>
    <row r="907" ht="14.25" customHeight="1">
      <c r="BG907" s="13"/>
      <c r="BH907" s="13"/>
    </row>
    <row r="908" ht="14.25" customHeight="1">
      <c r="BG908" s="13"/>
      <c r="BH908" s="13"/>
    </row>
    <row r="909" ht="14.25" customHeight="1">
      <c r="BG909" s="13"/>
      <c r="BH909" s="13"/>
    </row>
    <row r="910" ht="14.25" customHeight="1">
      <c r="BG910" s="13"/>
      <c r="BH910" s="13"/>
    </row>
    <row r="911" ht="14.25" customHeight="1">
      <c r="BG911" s="13"/>
      <c r="BH911" s="13"/>
    </row>
    <row r="912" ht="14.25" customHeight="1">
      <c r="BG912" s="13"/>
      <c r="BH912" s="13"/>
    </row>
    <row r="913" ht="14.25" customHeight="1">
      <c r="BG913" s="13"/>
      <c r="BH913" s="13"/>
    </row>
    <row r="914" ht="14.25" customHeight="1">
      <c r="BG914" s="13"/>
      <c r="BH914" s="13"/>
    </row>
    <row r="915" ht="14.25" customHeight="1">
      <c r="BG915" s="13"/>
      <c r="BH915" s="13"/>
    </row>
    <row r="916" ht="14.25" customHeight="1">
      <c r="BG916" s="13"/>
      <c r="BH916" s="13"/>
    </row>
    <row r="917" ht="14.25" customHeight="1">
      <c r="BG917" s="13"/>
      <c r="BH917" s="13"/>
    </row>
    <row r="918" ht="14.25" customHeight="1">
      <c r="BG918" s="13"/>
      <c r="BH918" s="13"/>
    </row>
    <row r="919" ht="14.25" customHeight="1">
      <c r="BG919" s="13"/>
      <c r="BH919" s="13"/>
    </row>
    <row r="920" ht="14.25" customHeight="1">
      <c r="BG920" s="13"/>
      <c r="BH920" s="13"/>
    </row>
    <row r="921" ht="14.25" customHeight="1">
      <c r="BG921" s="13"/>
      <c r="BH921" s="13"/>
    </row>
    <row r="922" ht="14.25" customHeight="1">
      <c r="BG922" s="13"/>
      <c r="BH922" s="13"/>
    </row>
    <row r="923" ht="14.25" customHeight="1">
      <c r="BG923" s="13"/>
      <c r="BH923" s="13"/>
    </row>
    <row r="924" ht="14.25" customHeight="1">
      <c r="BG924" s="13"/>
      <c r="BH924" s="13"/>
    </row>
    <row r="925" ht="14.25" customHeight="1">
      <c r="BG925" s="13"/>
      <c r="BH925" s="13"/>
    </row>
    <row r="926" ht="14.25" customHeight="1">
      <c r="BG926" s="13"/>
      <c r="BH926" s="13"/>
    </row>
    <row r="927" ht="14.25" customHeight="1">
      <c r="BG927" s="13"/>
      <c r="BH927" s="13"/>
    </row>
    <row r="928" ht="14.25" customHeight="1">
      <c r="BG928" s="13"/>
      <c r="BH928" s="13"/>
    </row>
    <row r="929" ht="14.25" customHeight="1">
      <c r="BG929" s="13"/>
      <c r="BH929" s="13"/>
    </row>
    <row r="930" ht="14.25" customHeight="1">
      <c r="BG930" s="13"/>
      <c r="BH930" s="13"/>
    </row>
    <row r="931" ht="14.25" customHeight="1">
      <c r="BG931" s="13"/>
      <c r="BH931" s="13"/>
    </row>
    <row r="932" ht="14.25" customHeight="1">
      <c r="BG932" s="13"/>
      <c r="BH932" s="13"/>
    </row>
    <row r="933" ht="14.25" customHeight="1">
      <c r="BG933" s="13"/>
      <c r="BH933" s="13"/>
    </row>
    <row r="934" ht="14.25" customHeight="1">
      <c r="BG934" s="13"/>
      <c r="BH934" s="13"/>
    </row>
    <row r="935" ht="14.25" customHeight="1">
      <c r="BG935" s="13"/>
      <c r="BH935" s="13"/>
    </row>
    <row r="936" ht="14.25" customHeight="1">
      <c r="BG936" s="13"/>
      <c r="BH936" s="13"/>
    </row>
    <row r="937" ht="14.25" customHeight="1">
      <c r="BG937" s="13"/>
      <c r="BH937" s="13"/>
    </row>
    <row r="938" ht="14.25" customHeight="1">
      <c r="BG938" s="13"/>
      <c r="BH938" s="13"/>
    </row>
    <row r="939" ht="14.25" customHeight="1">
      <c r="BG939" s="13"/>
      <c r="BH939" s="13"/>
    </row>
    <row r="940" ht="14.25" customHeight="1">
      <c r="BG940" s="13"/>
      <c r="BH940" s="13"/>
    </row>
    <row r="941" ht="14.25" customHeight="1">
      <c r="BG941" s="13"/>
      <c r="BH941" s="13"/>
    </row>
    <row r="942" ht="14.25" customHeight="1">
      <c r="BG942" s="13"/>
      <c r="BH942" s="13"/>
    </row>
    <row r="943" ht="14.25" customHeight="1">
      <c r="BG943" s="13"/>
      <c r="BH943" s="13"/>
    </row>
    <row r="944" ht="14.25" customHeight="1">
      <c r="BG944" s="13"/>
      <c r="BH944" s="13"/>
    </row>
    <row r="945" ht="14.25" customHeight="1">
      <c r="BG945" s="13"/>
      <c r="BH945" s="13"/>
    </row>
    <row r="946" ht="14.25" customHeight="1">
      <c r="BG946" s="13"/>
      <c r="BH946" s="13"/>
    </row>
    <row r="947" ht="14.25" customHeight="1">
      <c r="BG947" s="13"/>
      <c r="BH947" s="13"/>
    </row>
    <row r="948" ht="14.25" customHeight="1">
      <c r="BG948" s="13"/>
      <c r="BH948" s="13"/>
    </row>
    <row r="949" ht="14.25" customHeight="1">
      <c r="BG949" s="13"/>
      <c r="BH949" s="13"/>
    </row>
    <row r="950" ht="14.25" customHeight="1">
      <c r="BG950" s="13"/>
      <c r="BH950" s="13"/>
    </row>
    <row r="951" ht="14.25" customHeight="1">
      <c r="BG951" s="13"/>
      <c r="BH951" s="13"/>
    </row>
    <row r="952" ht="14.25" customHeight="1">
      <c r="BG952" s="13"/>
      <c r="BH952" s="13"/>
    </row>
    <row r="953" ht="14.25" customHeight="1">
      <c r="BG953" s="13"/>
      <c r="BH953" s="13"/>
    </row>
    <row r="954" ht="14.25" customHeight="1">
      <c r="BG954" s="13"/>
      <c r="BH954" s="13"/>
    </row>
    <row r="955" ht="14.25" customHeight="1">
      <c r="BG955" s="13"/>
      <c r="BH955" s="13"/>
    </row>
    <row r="956" ht="14.25" customHeight="1">
      <c r="BG956" s="13"/>
      <c r="BH956" s="13"/>
    </row>
    <row r="957" ht="14.25" customHeight="1">
      <c r="BG957" s="13"/>
      <c r="BH957" s="13"/>
    </row>
    <row r="958" ht="14.25" customHeight="1">
      <c r="BG958" s="13"/>
      <c r="BH958" s="13"/>
    </row>
    <row r="959" ht="14.25" customHeight="1">
      <c r="BG959" s="13"/>
      <c r="BH959" s="13"/>
    </row>
    <row r="960" ht="14.25" customHeight="1">
      <c r="BG960" s="13"/>
      <c r="BH960" s="13"/>
    </row>
    <row r="961" ht="14.25" customHeight="1">
      <c r="BG961" s="13"/>
      <c r="BH961" s="13"/>
    </row>
    <row r="962" ht="14.25" customHeight="1">
      <c r="BG962" s="13"/>
      <c r="BH962" s="13"/>
    </row>
    <row r="963" ht="14.25" customHeight="1">
      <c r="BG963" s="13"/>
      <c r="BH963" s="13"/>
    </row>
    <row r="964" ht="14.25" customHeight="1">
      <c r="BG964" s="13"/>
      <c r="BH964" s="13"/>
    </row>
    <row r="965" ht="14.25" customHeight="1">
      <c r="BG965" s="13"/>
      <c r="BH965" s="13"/>
    </row>
    <row r="966" ht="14.25" customHeight="1">
      <c r="BG966" s="13"/>
      <c r="BH966" s="13"/>
    </row>
    <row r="967" ht="14.25" customHeight="1">
      <c r="BG967" s="13"/>
      <c r="BH967" s="13"/>
    </row>
    <row r="968" ht="14.25" customHeight="1">
      <c r="BG968" s="13"/>
      <c r="BH968" s="13"/>
    </row>
    <row r="969" ht="14.25" customHeight="1">
      <c r="BG969" s="13"/>
      <c r="BH969" s="13"/>
    </row>
    <row r="970" ht="14.25" customHeight="1">
      <c r="BG970" s="13"/>
      <c r="BH970" s="13"/>
    </row>
    <row r="971" ht="14.25" customHeight="1">
      <c r="BG971" s="13"/>
      <c r="BH971" s="13"/>
    </row>
    <row r="972" ht="14.25" customHeight="1">
      <c r="BG972" s="13"/>
      <c r="BH972" s="13"/>
    </row>
    <row r="973" ht="14.25" customHeight="1">
      <c r="BG973" s="13"/>
      <c r="BH973" s="13"/>
    </row>
    <row r="974" ht="14.25" customHeight="1">
      <c r="BG974" s="13"/>
      <c r="BH974" s="13"/>
    </row>
  </sheetData>
  <hyperlinks>
    <hyperlink r:id="rId1" ref="I2"/>
    <hyperlink r:id="rId2" ref="V2"/>
    <hyperlink r:id="rId3" ref="X2"/>
    <hyperlink r:id="rId4" ref="BD2"/>
    <hyperlink r:id="rId5" ref="BI2"/>
    <hyperlink r:id="rId6" ref="I3"/>
    <hyperlink r:id="rId7" ref="V3"/>
    <hyperlink r:id="rId8" ref="X3"/>
    <hyperlink r:id="rId9" ref="BD3"/>
    <hyperlink r:id="rId10" ref="BI3"/>
    <hyperlink r:id="rId11" ref="I4"/>
    <hyperlink r:id="rId12" ref="V4"/>
    <hyperlink r:id="rId13" ref="X4"/>
    <hyperlink r:id="rId14" ref="BD4"/>
    <hyperlink r:id="rId15" ref="BI4"/>
    <hyperlink r:id="rId16" ref="I5"/>
    <hyperlink r:id="rId17" ref="V5"/>
    <hyperlink r:id="rId18" ref="X5"/>
    <hyperlink r:id="rId19" ref="BD5"/>
    <hyperlink r:id="rId20" ref="BI5"/>
    <hyperlink r:id="rId21" ref="I6"/>
    <hyperlink r:id="rId22" ref="V6"/>
    <hyperlink r:id="rId23" ref="X6"/>
    <hyperlink r:id="rId24" ref="BD6"/>
    <hyperlink r:id="rId25" ref="BI6"/>
    <hyperlink r:id="rId26" ref="I7"/>
    <hyperlink r:id="rId27" ref="V7"/>
    <hyperlink r:id="rId28" ref="X7"/>
    <hyperlink r:id="rId29" ref="BD7"/>
    <hyperlink r:id="rId30" ref="BI7"/>
    <hyperlink r:id="rId31" ref="I8"/>
    <hyperlink r:id="rId32" ref="V8"/>
    <hyperlink r:id="rId33" ref="X8"/>
    <hyperlink r:id="rId34" ref="BD8"/>
    <hyperlink r:id="rId35" ref="BI8"/>
    <hyperlink r:id="rId36" ref="I9"/>
    <hyperlink r:id="rId37" ref="V9"/>
    <hyperlink r:id="rId38" ref="X9"/>
    <hyperlink r:id="rId39" ref="BD9"/>
    <hyperlink r:id="rId40" ref="BI9"/>
    <hyperlink r:id="rId41" ref="I10"/>
    <hyperlink r:id="rId42" ref="V10"/>
    <hyperlink r:id="rId43" ref="X10"/>
    <hyperlink r:id="rId44" ref="BD10"/>
    <hyperlink r:id="rId45" ref="BI10"/>
    <hyperlink r:id="rId46" ref="I11"/>
    <hyperlink r:id="rId47" ref="V11"/>
    <hyperlink r:id="rId48" ref="X11"/>
    <hyperlink r:id="rId49" ref="BD11"/>
    <hyperlink r:id="rId50" ref="BI11"/>
    <hyperlink r:id="rId51" ref="I12"/>
    <hyperlink r:id="rId52" ref="V12"/>
    <hyperlink r:id="rId53" ref="X12"/>
    <hyperlink r:id="rId54" ref="BD12"/>
    <hyperlink r:id="rId55" ref="BI12"/>
    <hyperlink r:id="rId56" ref="I13"/>
    <hyperlink r:id="rId57" ref="V13"/>
    <hyperlink r:id="rId58" ref="X13"/>
    <hyperlink r:id="rId59" ref="BD13"/>
    <hyperlink r:id="rId60" ref="BI13"/>
  </hyperlinks>
  <printOptions/>
  <pageMargins bottom="0.75" footer="0.0" header="0.0" left="0.7" right="0.7" top="0.75"/>
  <pageSetup orientation="landscape"/>
  <drawing r:id="rId6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0.88"/>
    <col customWidth="1" min="3" max="3" width="22.0"/>
    <col customWidth="1" min="4" max="4" width="15.25"/>
    <col customWidth="1" min="7" max="7" width="19.63"/>
    <col customWidth="1" min="8" max="8" width="21.0"/>
    <col customWidth="1" min="9" max="9" width="21.25"/>
    <col customWidth="1" min="10" max="13" width="22.0"/>
    <col customWidth="1" min="14" max="15" width="23.13"/>
    <col customWidth="1" min="16" max="16" width="24.38"/>
    <col customWidth="1" min="17" max="17" width="22.13"/>
    <col customWidth="1" min="18" max="18" width="26.38"/>
    <col customWidth="1" min="19" max="20" width="26.0"/>
    <col customWidth="1" min="21" max="22" width="26.5"/>
    <col customWidth="1" min="23" max="24" width="28.38"/>
    <col customWidth="1" min="25" max="25" width="24.38"/>
    <col customWidth="1" min="26" max="26" width="22.13"/>
    <col customWidth="1" min="27" max="27" width="23.63"/>
    <col customWidth="1" min="28" max="33" width="27.75"/>
  </cols>
  <sheetData>
    <row r="1">
      <c r="A1" s="5" t="s">
        <v>409</v>
      </c>
    </row>
    <row r="2">
      <c r="B2" s="5" t="s">
        <v>410</v>
      </c>
      <c r="C2" s="5" t="s">
        <v>411</v>
      </c>
      <c r="D2" s="5" t="s">
        <v>412</v>
      </c>
      <c r="E2" s="5" t="s">
        <v>413</v>
      </c>
      <c r="F2" s="5" t="s">
        <v>414</v>
      </c>
      <c r="G2" s="5" t="s">
        <v>415</v>
      </c>
      <c r="H2" s="5" t="s">
        <v>416</v>
      </c>
      <c r="I2" s="5" t="s">
        <v>417</v>
      </c>
      <c r="J2" s="245" t="s">
        <v>418</v>
      </c>
      <c r="K2" s="245" t="s">
        <v>419</v>
      </c>
      <c r="L2" s="245" t="s">
        <v>420</v>
      </c>
      <c r="M2" s="245" t="s">
        <v>421</v>
      </c>
      <c r="N2" s="245" t="s">
        <v>422</v>
      </c>
      <c r="O2" s="245" t="s">
        <v>423</v>
      </c>
      <c r="P2" s="5" t="s">
        <v>424</v>
      </c>
      <c r="Q2" s="5" t="s">
        <v>425</v>
      </c>
      <c r="R2" s="5" t="s">
        <v>426</v>
      </c>
      <c r="S2" s="246" t="s">
        <v>427</v>
      </c>
      <c r="T2" s="246" t="s">
        <v>428</v>
      </c>
      <c r="U2" s="246" t="s">
        <v>429</v>
      </c>
      <c r="V2" s="246" t="s">
        <v>430</v>
      </c>
      <c r="W2" s="246" t="s">
        <v>431</v>
      </c>
      <c r="X2" s="246" t="s">
        <v>432</v>
      </c>
      <c r="Y2" s="5" t="s">
        <v>433</v>
      </c>
      <c r="Z2" s="5" t="s">
        <v>434</v>
      </c>
      <c r="AA2" s="5" t="s">
        <v>435</v>
      </c>
      <c r="AB2" s="247" t="s">
        <v>436</v>
      </c>
      <c r="AC2" s="247" t="s">
        <v>437</v>
      </c>
      <c r="AD2" s="247" t="s">
        <v>438</v>
      </c>
      <c r="AE2" s="247" t="s">
        <v>439</v>
      </c>
      <c r="AF2" s="247" t="s">
        <v>440</v>
      </c>
      <c r="AG2" s="247" t="s">
        <v>441</v>
      </c>
    </row>
    <row r="3">
      <c r="A3" s="5" t="s">
        <v>442</v>
      </c>
      <c r="B3" s="5">
        <v>1.0</v>
      </c>
      <c r="C3" s="33">
        <f t="shared" ref="C3:C4" si="1">B3*28000</f>
        <v>28000</v>
      </c>
      <c r="D3" s="248">
        <v>1.0</v>
      </c>
      <c r="E3" s="248">
        <f t="shared" ref="E3:E8" si="2">ROUNDUP((D3 - 1)*4,0)</f>
        <v>0</v>
      </c>
      <c r="F3" s="249">
        <f t="shared" ref="F3:F8" si="3">E3*3000</f>
        <v>0</v>
      </c>
      <c r="G3" s="33">
        <f t="shared" ref="G3:G4" si="4">F3+C3</f>
        <v>28000</v>
      </c>
      <c r="H3" s="33">
        <f>'Propane Boiler BAU ReOPT'!BF2-'Propane Boiler BAU ReOPT'!AZ2</f>
        <v>561315</v>
      </c>
      <c r="I3" s="33">
        <f>'Propane Boiler BAU ReOPT'!AZ2</f>
        <v>355438</v>
      </c>
      <c r="J3" s="250">
        <f t="shared" ref="J3:J8" si="5">I3+H3</f>
        <v>916753</v>
      </c>
      <c r="K3" s="250">
        <f t="shared" ref="K3:K8" si="6">$J$3-J3</f>
        <v>0</v>
      </c>
      <c r="L3" s="250">
        <f t="shared" ref="L3:L8" si="7">G3</f>
        <v>28000</v>
      </c>
      <c r="M3" s="250">
        <f t="shared" ref="M3:M8" si="8">$L$3-L3</f>
        <v>0</v>
      </c>
      <c r="N3" s="250">
        <f t="shared" ref="N3:N8" si="9">J3+L3</f>
        <v>944753</v>
      </c>
      <c r="O3" s="250">
        <f t="shared" ref="O3:O8" si="10">$N$3-N3</f>
        <v>0</v>
      </c>
      <c r="P3" s="74" t="s">
        <v>69</v>
      </c>
      <c r="Q3" s="74" t="s">
        <v>69</v>
      </c>
      <c r="R3" s="74" t="s">
        <v>69</v>
      </c>
      <c r="S3" s="251" t="s">
        <v>69</v>
      </c>
      <c r="T3" s="251" t="s">
        <v>69</v>
      </c>
      <c r="U3" s="251" t="s">
        <v>69</v>
      </c>
      <c r="V3" s="251" t="s">
        <v>69</v>
      </c>
      <c r="W3" s="251" t="s">
        <v>69</v>
      </c>
      <c r="X3" s="251" t="s">
        <v>69</v>
      </c>
      <c r="Y3" s="74" t="s">
        <v>69</v>
      </c>
      <c r="Z3" s="74" t="s">
        <v>69</v>
      </c>
      <c r="AA3" s="74" t="s">
        <v>69</v>
      </c>
      <c r="AB3" s="252" t="s">
        <v>69</v>
      </c>
      <c r="AC3" s="252" t="s">
        <v>69</v>
      </c>
      <c r="AD3" s="252" t="s">
        <v>69</v>
      </c>
      <c r="AE3" s="252" t="s">
        <v>69</v>
      </c>
      <c r="AF3" s="252" t="s">
        <v>69</v>
      </c>
      <c r="AG3" s="252" t="s">
        <v>69</v>
      </c>
    </row>
    <row r="4">
      <c r="A4" s="5" t="s">
        <v>443</v>
      </c>
      <c r="B4" s="5">
        <v>1.0</v>
      </c>
      <c r="C4" s="33">
        <f t="shared" si="1"/>
        <v>28000</v>
      </c>
      <c r="D4" s="248">
        <v>1.0</v>
      </c>
      <c r="E4" s="248">
        <f t="shared" si="2"/>
        <v>0</v>
      </c>
      <c r="F4" s="249">
        <f t="shared" si="3"/>
        <v>0</v>
      </c>
      <c r="G4" s="33">
        <f t="shared" si="4"/>
        <v>28000</v>
      </c>
      <c r="H4" s="33">
        <f>'Propane Boiler BAU ReOPT'!BF5-'Propane Boiler BAU ReOPT'!AZ5</f>
        <v>526480</v>
      </c>
      <c r="I4" s="33">
        <f>'Propane Boiler BAU ReOPT'!AZ5</f>
        <v>355438</v>
      </c>
      <c r="J4" s="250">
        <f t="shared" si="5"/>
        <v>881918</v>
      </c>
      <c r="K4" s="250">
        <f t="shared" si="6"/>
        <v>34835</v>
      </c>
      <c r="L4" s="250">
        <f t="shared" si="7"/>
        <v>28000</v>
      </c>
      <c r="M4" s="250">
        <f t="shared" si="8"/>
        <v>0</v>
      </c>
      <c r="N4" s="250">
        <f t="shared" si="9"/>
        <v>909918</v>
      </c>
      <c r="O4" s="250">
        <f t="shared" si="10"/>
        <v>34835</v>
      </c>
      <c r="P4" s="74" t="s">
        <v>69</v>
      </c>
      <c r="Q4" s="74" t="s">
        <v>69</v>
      </c>
      <c r="R4" s="74" t="s">
        <v>69</v>
      </c>
      <c r="S4" s="251" t="s">
        <v>69</v>
      </c>
      <c r="T4" s="251" t="s">
        <v>69</v>
      </c>
      <c r="U4" s="251" t="s">
        <v>69</v>
      </c>
      <c r="V4" s="251" t="s">
        <v>69</v>
      </c>
      <c r="W4" s="251" t="s">
        <v>69</v>
      </c>
      <c r="X4" s="251" t="s">
        <v>69</v>
      </c>
      <c r="Y4" s="74" t="s">
        <v>69</v>
      </c>
      <c r="Z4" s="74" t="s">
        <v>69</v>
      </c>
      <c r="AA4" s="74" t="s">
        <v>69</v>
      </c>
      <c r="AB4" s="252" t="s">
        <v>69</v>
      </c>
      <c r="AC4" s="252" t="s">
        <v>69</v>
      </c>
      <c r="AD4" s="252" t="s">
        <v>69</v>
      </c>
      <c r="AE4" s="252" t="s">
        <v>69</v>
      </c>
      <c r="AF4" s="252" t="s">
        <v>69</v>
      </c>
      <c r="AG4" s="252" t="s">
        <v>69</v>
      </c>
    </row>
    <row r="5">
      <c r="A5" s="5" t="s">
        <v>444</v>
      </c>
      <c r="B5" s="5">
        <v>4.0</v>
      </c>
      <c r="C5" s="33">
        <f t="shared" ref="C5:C6" si="11">31000+45000</f>
        <v>76000</v>
      </c>
      <c r="D5" s="248">
        <v>1.5</v>
      </c>
      <c r="E5" s="248">
        <f t="shared" si="2"/>
        <v>2</v>
      </c>
      <c r="F5" s="249">
        <f t="shared" si="3"/>
        <v>6000</v>
      </c>
      <c r="G5" s="33">
        <f t="shared" ref="G5:G6" si="12">(F5*E5)+C5</f>
        <v>88000</v>
      </c>
      <c r="H5" s="33">
        <v>0.0</v>
      </c>
      <c r="I5" s="33">
        <f>'LT Heat Pumps'!CE2</f>
        <v>946792</v>
      </c>
      <c r="J5" s="250">
        <f t="shared" si="5"/>
        <v>946792</v>
      </c>
      <c r="K5" s="250">
        <f t="shared" si="6"/>
        <v>-30039</v>
      </c>
      <c r="L5" s="250">
        <f t="shared" si="7"/>
        <v>88000</v>
      </c>
      <c r="M5" s="250">
        <f t="shared" si="8"/>
        <v>-60000</v>
      </c>
      <c r="N5" s="250">
        <f t="shared" si="9"/>
        <v>1034792</v>
      </c>
      <c r="O5" s="250">
        <f t="shared" si="10"/>
        <v>-90039</v>
      </c>
      <c r="P5" s="33">
        <v>177600.0</v>
      </c>
      <c r="Q5" s="33">
        <v>52000.0</v>
      </c>
      <c r="R5" s="33">
        <f>'LT Heat Pumps'!CE4</f>
        <v>557095</v>
      </c>
      <c r="S5" s="253">
        <f t="shared" ref="S5:S8" si="13">R5+Q5</f>
        <v>609095</v>
      </c>
      <c r="T5" s="253">
        <f t="shared" ref="T5:T8" si="14">$J$3-S5</f>
        <v>307658</v>
      </c>
      <c r="U5" s="253">
        <f t="shared" ref="U5:U8" si="15">$G5 + P5</f>
        <v>265600</v>
      </c>
      <c r="V5" s="253">
        <f t="shared" ref="V5:V8" si="16">$L$3-U5</f>
        <v>-237600</v>
      </c>
      <c r="W5" s="253">
        <f t="shared" ref="W5:W8" si="17">S5+U5</f>
        <v>874695</v>
      </c>
      <c r="X5" s="253">
        <f t="shared" ref="X5:X8" si="18">$N$3-W5</f>
        <v>70058</v>
      </c>
      <c r="Y5" s="33">
        <v>122048.0</v>
      </c>
      <c r="Z5" s="33">
        <v>35735.0</v>
      </c>
      <c r="AA5" s="33">
        <f>'LT Heat Pumps'!CE6</f>
        <v>736908</v>
      </c>
      <c r="AB5" s="254">
        <f t="shared" ref="AB5:AB8" si="19">AA5+Z5</f>
        <v>772643</v>
      </c>
      <c r="AC5" s="254">
        <f t="shared" ref="AC5:AC8" si="20">$J$3-AB5</f>
        <v>144110</v>
      </c>
      <c r="AD5" s="254">
        <f t="shared" ref="AD5:AD8" si="21">$G5 + Y5</f>
        <v>210048</v>
      </c>
      <c r="AE5" s="254">
        <f t="shared" ref="AE5:AE8" si="22">$L$3-AD5</f>
        <v>-182048</v>
      </c>
      <c r="AF5" s="254">
        <f t="shared" ref="AF5:AF8" si="23">AB5+AD5</f>
        <v>982691</v>
      </c>
      <c r="AG5" s="254">
        <f t="shared" ref="AG5:AG8" si="24">$N$3-AF5</f>
        <v>-37938</v>
      </c>
    </row>
    <row r="6">
      <c r="A6" s="5" t="s">
        <v>445</v>
      </c>
      <c r="B6" s="5">
        <v>4.0</v>
      </c>
      <c r="C6" s="33">
        <f t="shared" si="11"/>
        <v>76000</v>
      </c>
      <c r="D6" s="248">
        <v>1.5</v>
      </c>
      <c r="E6" s="248">
        <f t="shared" si="2"/>
        <v>2</v>
      </c>
      <c r="F6" s="249">
        <f t="shared" si="3"/>
        <v>6000</v>
      </c>
      <c r="G6" s="33">
        <f t="shared" si="12"/>
        <v>88000</v>
      </c>
      <c r="H6" s="33">
        <v>0.0</v>
      </c>
      <c r="I6" s="33">
        <f>'LT Heat Pumps Schedule 24'!CE2</f>
        <v>1040295</v>
      </c>
      <c r="J6" s="250">
        <f t="shared" si="5"/>
        <v>1040295</v>
      </c>
      <c r="K6" s="250">
        <f t="shared" si="6"/>
        <v>-123542</v>
      </c>
      <c r="L6" s="250">
        <f t="shared" si="7"/>
        <v>88000</v>
      </c>
      <c r="M6" s="250">
        <f t="shared" si="8"/>
        <v>-60000</v>
      </c>
      <c r="N6" s="250">
        <f t="shared" si="9"/>
        <v>1128295</v>
      </c>
      <c r="O6" s="250">
        <f t="shared" si="10"/>
        <v>-183542</v>
      </c>
      <c r="P6" s="33">
        <v>177600.0</v>
      </c>
      <c r="Q6" s="33">
        <v>52000.0</v>
      </c>
      <c r="R6" s="33">
        <f>'LT Heat Pumps Schedule 24'!CE4</f>
        <v>558241</v>
      </c>
      <c r="S6" s="253">
        <f t="shared" si="13"/>
        <v>610241</v>
      </c>
      <c r="T6" s="253">
        <f t="shared" si="14"/>
        <v>306512</v>
      </c>
      <c r="U6" s="253">
        <f t="shared" si="15"/>
        <v>265600</v>
      </c>
      <c r="V6" s="253">
        <f t="shared" si="16"/>
        <v>-237600</v>
      </c>
      <c r="W6" s="253">
        <f t="shared" si="17"/>
        <v>875841</v>
      </c>
      <c r="X6" s="253">
        <f t="shared" si="18"/>
        <v>68912</v>
      </c>
      <c r="Y6" s="33">
        <v>156589.0</v>
      </c>
      <c r="Z6" s="33">
        <v>45848.0</v>
      </c>
      <c r="AA6" s="33">
        <f>'LT Heat Pumps Schedule 24'!CE6</f>
        <v>759711</v>
      </c>
      <c r="AB6" s="254">
        <f t="shared" si="19"/>
        <v>805559</v>
      </c>
      <c r="AC6" s="254">
        <f t="shared" si="20"/>
        <v>111194</v>
      </c>
      <c r="AD6" s="254">
        <f t="shared" si="21"/>
        <v>244589</v>
      </c>
      <c r="AE6" s="254">
        <f t="shared" si="22"/>
        <v>-216589</v>
      </c>
      <c r="AF6" s="254">
        <f t="shared" si="23"/>
        <v>1050148</v>
      </c>
      <c r="AG6" s="254">
        <f t="shared" si="24"/>
        <v>-105395</v>
      </c>
    </row>
    <row r="7">
      <c r="A7" s="5" t="s">
        <v>446</v>
      </c>
      <c r="B7" s="5">
        <v>4.0</v>
      </c>
      <c r="C7" s="33">
        <f>43000+45000</f>
        <v>88000</v>
      </c>
      <c r="D7" s="248">
        <v>1.0</v>
      </c>
      <c r="E7" s="248">
        <f t="shared" si="2"/>
        <v>0</v>
      </c>
      <c r="F7" s="249">
        <f t="shared" si="3"/>
        <v>0</v>
      </c>
      <c r="G7" s="33">
        <f t="shared" ref="G7:G8" si="25">F7+C7</f>
        <v>88000</v>
      </c>
      <c r="H7" s="33">
        <v>0.0</v>
      </c>
      <c r="I7" s="33">
        <f>'HT Heat Pumps'!CD2</f>
        <v>1183586</v>
      </c>
      <c r="J7" s="250">
        <f t="shared" si="5"/>
        <v>1183586</v>
      </c>
      <c r="K7" s="250">
        <f t="shared" si="6"/>
        <v>-266833</v>
      </c>
      <c r="L7" s="250">
        <f t="shared" si="7"/>
        <v>88000</v>
      </c>
      <c r="M7" s="250">
        <f t="shared" si="8"/>
        <v>-60000</v>
      </c>
      <c r="N7" s="250">
        <f t="shared" si="9"/>
        <v>1271586</v>
      </c>
      <c r="O7" s="250">
        <f t="shared" si="10"/>
        <v>-326833</v>
      </c>
      <c r="P7" s="33">
        <v>177600.0</v>
      </c>
      <c r="Q7" s="33">
        <v>52000.0</v>
      </c>
      <c r="R7" s="33">
        <f>'HT Heat Pumps'!CD4</f>
        <v>796398</v>
      </c>
      <c r="S7" s="253">
        <f t="shared" si="13"/>
        <v>848398</v>
      </c>
      <c r="T7" s="253">
        <f t="shared" si="14"/>
        <v>68355</v>
      </c>
      <c r="U7" s="253">
        <f t="shared" si="15"/>
        <v>265600</v>
      </c>
      <c r="V7" s="253">
        <f t="shared" si="16"/>
        <v>-237600</v>
      </c>
      <c r="W7" s="253">
        <f t="shared" si="17"/>
        <v>1113998</v>
      </c>
      <c r="X7" s="253">
        <f t="shared" si="18"/>
        <v>-169245</v>
      </c>
      <c r="Y7" s="33">
        <v>146530.0</v>
      </c>
      <c r="Z7" s="33">
        <v>42903.0</v>
      </c>
      <c r="AA7" s="33">
        <f>'HT Heat Pumps'!CD6</f>
        <v>939924</v>
      </c>
      <c r="AB7" s="254">
        <f t="shared" si="19"/>
        <v>982827</v>
      </c>
      <c r="AC7" s="254">
        <f t="shared" si="20"/>
        <v>-66074</v>
      </c>
      <c r="AD7" s="254">
        <f t="shared" si="21"/>
        <v>234530</v>
      </c>
      <c r="AE7" s="254">
        <f t="shared" si="22"/>
        <v>-206530</v>
      </c>
      <c r="AF7" s="254">
        <f t="shared" si="23"/>
        <v>1217357</v>
      </c>
      <c r="AG7" s="254">
        <f t="shared" si="24"/>
        <v>-272604</v>
      </c>
    </row>
    <row r="8">
      <c r="A8" s="5" t="s">
        <v>447</v>
      </c>
      <c r="B8" s="5">
        <v>1.0</v>
      </c>
      <c r="C8" s="33">
        <f>B8*25000</f>
        <v>25000</v>
      </c>
      <c r="D8" s="248">
        <v>1.0</v>
      </c>
      <c r="E8" s="248">
        <f t="shared" si="2"/>
        <v>0</v>
      </c>
      <c r="F8" s="249">
        <f t="shared" si="3"/>
        <v>0</v>
      </c>
      <c r="G8" s="33">
        <f t="shared" si="25"/>
        <v>25000</v>
      </c>
      <c r="H8" s="33">
        <v>0.0</v>
      </c>
      <c r="I8" s="33">
        <f>'Electric Boiler'!CF2</f>
        <v>1774216</v>
      </c>
      <c r="J8" s="250">
        <f t="shared" si="5"/>
        <v>1774216</v>
      </c>
      <c r="K8" s="250">
        <f t="shared" si="6"/>
        <v>-857463</v>
      </c>
      <c r="L8" s="250">
        <f t="shared" si="7"/>
        <v>25000</v>
      </c>
      <c r="M8" s="250">
        <f t="shared" si="8"/>
        <v>3000</v>
      </c>
      <c r="N8" s="250">
        <f t="shared" si="9"/>
        <v>1799216</v>
      </c>
      <c r="O8" s="250">
        <f t="shared" si="10"/>
        <v>-854463</v>
      </c>
      <c r="P8" s="33">
        <v>177600.0</v>
      </c>
      <c r="Q8" s="33">
        <v>52000.0</v>
      </c>
      <c r="R8" s="33">
        <f>'Electric Boiler'!CF4</f>
        <v>1391171</v>
      </c>
      <c r="S8" s="253">
        <f t="shared" si="13"/>
        <v>1443171</v>
      </c>
      <c r="T8" s="253">
        <f t="shared" si="14"/>
        <v>-526418</v>
      </c>
      <c r="U8" s="253">
        <f t="shared" si="15"/>
        <v>202600</v>
      </c>
      <c r="V8" s="253">
        <f t="shared" si="16"/>
        <v>-174600</v>
      </c>
      <c r="W8" s="253">
        <f t="shared" si="17"/>
        <v>1645771</v>
      </c>
      <c r="X8" s="253">
        <f t="shared" si="18"/>
        <v>-701018</v>
      </c>
      <c r="Y8" s="33">
        <v>177600.0</v>
      </c>
      <c r="Z8" s="33">
        <v>52000.0</v>
      </c>
      <c r="AA8" s="33">
        <f>'Electric Boiler'!CF6</f>
        <v>1483406</v>
      </c>
      <c r="AB8" s="254">
        <f t="shared" si="19"/>
        <v>1535406</v>
      </c>
      <c r="AC8" s="254">
        <f t="shared" si="20"/>
        <v>-618653</v>
      </c>
      <c r="AD8" s="254">
        <f t="shared" si="21"/>
        <v>202600</v>
      </c>
      <c r="AE8" s="254">
        <f t="shared" si="22"/>
        <v>-174600</v>
      </c>
      <c r="AF8" s="254">
        <f t="shared" si="23"/>
        <v>1738006</v>
      </c>
      <c r="AG8" s="254">
        <f t="shared" si="24"/>
        <v>-793253</v>
      </c>
    </row>
    <row r="9">
      <c r="D9" s="248"/>
      <c r="E9" s="248"/>
      <c r="F9" s="248"/>
      <c r="J9" s="245"/>
      <c r="K9" s="245"/>
      <c r="L9" s="245"/>
      <c r="M9" s="245"/>
      <c r="N9" s="245"/>
      <c r="O9" s="245"/>
      <c r="S9" s="246"/>
      <c r="T9" s="246"/>
      <c r="U9" s="246"/>
      <c r="V9" s="246"/>
      <c r="W9" s="246"/>
      <c r="X9" s="246"/>
      <c r="AB9" s="247"/>
      <c r="AC9" s="247"/>
      <c r="AD9" s="247"/>
      <c r="AE9" s="247"/>
      <c r="AF9" s="247"/>
      <c r="AG9" s="247"/>
    </row>
    <row r="10">
      <c r="A10" s="5" t="s">
        <v>448</v>
      </c>
      <c r="D10" s="248"/>
      <c r="E10" s="248"/>
      <c r="F10" s="248"/>
      <c r="J10" s="245"/>
      <c r="K10" s="245"/>
      <c r="L10" s="245"/>
      <c r="M10" s="245"/>
      <c r="N10" s="245"/>
      <c r="O10" s="245"/>
      <c r="S10" s="246"/>
      <c r="T10" s="246"/>
      <c r="U10" s="246"/>
      <c r="V10" s="246"/>
      <c r="W10" s="246"/>
      <c r="X10" s="246"/>
      <c r="AB10" s="247"/>
      <c r="AC10" s="247"/>
      <c r="AD10" s="247"/>
      <c r="AE10" s="247"/>
      <c r="AF10" s="247"/>
      <c r="AG10" s="247"/>
    </row>
    <row r="11">
      <c r="B11" s="5" t="s">
        <v>410</v>
      </c>
      <c r="C11" s="5" t="s">
        <v>411</v>
      </c>
      <c r="D11" s="248" t="s">
        <v>412</v>
      </c>
      <c r="E11" s="248" t="s">
        <v>449</v>
      </c>
      <c r="F11" s="248" t="s">
        <v>414</v>
      </c>
      <c r="G11" s="5" t="s">
        <v>415</v>
      </c>
      <c r="H11" s="5" t="s">
        <v>416</v>
      </c>
      <c r="I11" s="5" t="s">
        <v>417</v>
      </c>
      <c r="J11" s="245" t="s">
        <v>418</v>
      </c>
      <c r="K11" s="245" t="s">
        <v>419</v>
      </c>
      <c r="L11" s="245" t="s">
        <v>420</v>
      </c>
      <c r="M11" s="245" t="s">
        <v>421</v>
      </c>
      <c r="N11" s="245" t="s">
        <v>422</v>
      </c>
      <c r="O11" s="245" t="s">
        <v>423</v>
      </c>
      <c r="P11" s="5" t="s">
        <v>424</v>
      </c>
      <c r="Q11" s="5" t="s">
        <v>425</v>
      </c>
      <c r="R11" s="5" t="s">
        <v>426</v>
      </c>
      <c r="S11" s="246" t="s">
        <v>427</v>
      </c>
      <c r="T11" s="246" t="s">
        <v>428</v>
      </c>
      <c r="U11" s="246" t="s">
        <v>429</v>
      </c>
      <c r="V11" s="246" t="s">
        <v>430</v>
      </c>
      <c r="W11" s="246" t="s">
        <v>431</v>
      </c>
      <c r="X11" s="246" t="s">
        <v>432</v>
      </c>
      <c r="Y11" s="5" t="s">
        <v>433</v>
      </c>
      <c r="Z11" s="5" t="s">
        <v>434</v>
      </c>
      <c r="AA11" s="5" t="s">
        <v>435</v>
      </c>
      <c r="AB11" s="247" t="s">
        <v>436</v>
      </c>
      <c r="AC11" s="247" t="s">
        <v>437</v>
      </c>
      <c r="AD11" s="247" t="s">
        <v>438</v>
      </c>
      <c r="AE11" s="247" t="s">
        <v>439</v>
      </c>
      <c r="AF11" s="247" t="s">
        <v>440</v>
      </c>
      <c r="AG11" s="247" t="s">
        <v>441</v>
      </c>
    </row>
    <row r="12">
      <c r="A12" s="5" t="s">
        <v>442</v>
      </c>
      <c r="B12" s="5">
        <v>1.0</v>
      </c>
      <c r="C12" s="33">
        <v>0.0</v>
      </c>
      <c r="D12" s="248">
        <v>1.0</v>
      </c>
      <c r="E12" s="248">
        <f t="shared" ref="E12:E17" si="26">ROUNDUP((D12 - 1)*4,0)</f>
        <v>0</v>
      </c>
      <c r="F12" s="249">
        <f>E12*3000</f>
        <v>0</v>
      </c>
      <c r="G12" s="33">
        <f t="shared" ref="G12:G17" si="27">F12+C12</f>
        <v>0</v>
      </c>
      <c r="H12" s="33">
        <f>'Propane Boiler BAU ReOPT'!BF3-'Propane Boiler BAU ReOPT'!AZ3</f>
        <v>208647</v>
      </c>
      <c r="I12" s="33">
        <f>'Propane Boiler BAU ReOPT'!AZ3</f>
        <v>107850</v>
      </c>
      <c r="J12" s="255">
        <f t="shared" ref="J12:J17" si="28">I12+H12</f>
        <v>316497</v>
      </c>
      <c r="K12" s="255">
        <f t="shared" ref="K12:K17" si="29">$J$12-J12</f>
        <v>0</v>
      </c>
      <c r="L12" s="255">
        <f t="shared" ref="L12:L17" si="30">G12</f>
        <v>0</v>
      </c>
      <c r="M12" s="255">
        <f t="shared" ref="M12:M17" si="31">$L$12-L12</f>
        <v>0</v>
      </c>
      <c r="N12" s="255">
        <f t="shared" ref="N12:N17" si="32">J12+L12</f>
        <v>316497</v>
      </c>
      <c r="O12" s="255">
        <f t="shared" ref="O12:O17" si="33">$N$12-N12</f>
        <v>0</v>
      </c>
      <c r="P12" s="74" t="s">
        <v>69</v>
      </c>
      <c r="Q12" s="74" t="s">
        <v>69</v>
      </c>
      <c r="R12" s="74" t="s">
        <v>69</v>
      </c>
      <c r="S12" s="256" t="s">
        <v>69</v>
      </c>
      <c r="T12" s="256" t="s">
        <v>69</v>
      </c>
      <c r="U12" s="256" t="s">
        <v>69</v>
      </c>
      <c r="V12" s="256" t="s">
        <v>69</v>
      </c>
      <c r="W12" s="256" t="s">
        <v>69</v>
      </c>
      <c r="X12" s="256" t="s">
        <v>69</v>
      </c>
      <c r="Y12" s="74" t="s">
        <v>69</v>
      </c>
      <c r="Z12" s="74" t="s">
        <v>69</v>
      </c>
      <c r="AA12" s="74" t="s">
        <v>69</v>
      </c>
      <c r="AB12" s="257" t="s">
        <v>69</v>
      </c>
      <c r="AC12" s="257" t="s">
        <v>69</v>
      </c>
      <c r="AD12" s="257" t="s">
        <v>69</v>
      </c>
      <c r="AE12" s="257" t="s">
        <v>69</v>
      </c>
      <c r="AF12" s="257" t="s">
        <v>69</v>
      </c>
      <c r="AG12" s="257" t="s">
        <v>69</v>
      </c>
    </row>
    <row r="13">
      <c r="A13" s="5" t="s">
        <v>443</v>
      </c>
      <c r="B13" s="5">
        <v>1.0</v>
      </c>
      <c r="C13" s="33">
        <v>0.0</v>
      </c>
      <c r="D13" s="248">
        <v>1.0</v>
      </c>
      <c r="E13" s="248">
        <f t="shared" si="26"/>
        <v>0</v>
      </c>
      <c r="F13" s="249">
        <f t="shared" ref="F13:F17" si="34">E13*0</f>
        <v>0</v>
      </c>
      <c r="G13" s="33">
        <f t="shared" si="27"/>
        <v>0</v>
      </c>
      <c r="H13" s="33">
        <f>'Propane Boiler BAU ReOPT'!BF6-'Propane Boiler BAU ReOPT'!AZ6</f>
        <v>195699</v>
      </c>
      <c r="I13" s="33">
        <f>'Propane Boiler BAU ReOPT'!AZ6</f>
        <v>107850</v>
      </c>
      <c r="J13" s="255">
        <f t="shared" si="28"/>
        <v>303549</v>
      </c>
      <c r="K13" s="255">
        <f t="shared" si="29"/>
        <v>12948</v>
      </c>
      <c r="L13" s="255">
        <f t="shared" si="30"/>
        <v>0</v>
      </c>
      <c r="M13" s="255">
        <f t="shared" si="31"/>
        <v>0</v>
      </c>
      <c r="N13" s="255">
        <f t="shared" si="32"/>
        <v>303549</v>
      </c>
      <c r="O13" s="255">
        <f t="shared" si="33"/>
        <v>12948</v>
      </c>
      <c r="P13" s="74" t="s">
        <v>69</v>
      </c>
      <c r="Q13" s="74" t="s">
        <v>69</v>
      </c>
      <c r="R13" s="74" t="s">
        <v>69</v>
      </c>
      <c r="S13" s="256" t="s">
        <v>69</v>
      </c>
      <c r="T13" s="256" t="s">
        <v>69</v>
      </c>
      <c r="U13" s="256" t="s">
        <v>69</v>
      </c>
      <c r="V13" s="256" t="s">
        <v>69</v>
      </c>
      <c r="W13" s="256" t="s">
        <v>69</v>
      </c>
      <c r="X13" s="256" t="s">
        <v>69</v>
      </c>
      <c r="Y13" s="74" t="s">
        <v>69</v>
      </c>
      <c r="Z13" s="74" t="s">
        <v>69</v>
      </c>
      <c r="AA13" s="74" t="s">
        <v>69</v>
      </c>
      <c r="AB13" s="257" t="s">
        <v>69</v>
      </c>
      <c r="AC13" s="257" t="s">
        <v>69</v>
      </c>
      <c r="AD13" s="257" t="s">
        <v>69</v>
      </c>
      <c r="AE13" s="257" t="s">
        <v>69</v>
      </c>
      <c r="AF13" s="257" t="s">
        <v>69</v>
      </c>
      <c r="AG13" s="257" t="s">
        <v>69</v>
      </c>
    </row>
    <row r="14">
      <c r="A14" s="5" t="s">
        <v>444</v>
      </c>
      <c r="B14" s="5">
        <v>4.0</v>
      </c>
      <c r="C14" s="33">
        <v>0.0</v>
      </c>
      <c r="D14" s="248">
        <v>1.5</v>
      </c>
      <c r="E14" s="248">
        <f t="shared" si="26"/>
        <v>2</v>
      </c>
      <c r="F14" s="249">
        <f t="shared" si="34"/>
        <v>0</v>
      </c>
      <c r="G14" s="33">
        <f t="shared" si="27"/>
        <v>0</v>
      </c>
      <c r="H14" s="33">
        <v>0.0</v>
      </c>
      <c r="I14" s="33">
        <f>'LT Heat Pumps'!CE3</f>
        <v>287284</v>
      </c>
      <c r="J14" s="255">
        <f t="shared" si="28"/>
        <v>287284</v>
      </c>
      <c r="K14" s="255">
        <f t="shared" si="29"/>
        <v>29213</v>
      </c>
      <c r="L14" s="255">
        <f t="shared" si="30"/>
        <v>0</v>
      </c>
      <c r="M14" s="255">
        <f t="shared" si="31"/>
        <v>0</v>
      </c>
      <c r="N14" s="255">
        <f t="shared" si="32"/>
        <v>287284</v>
      </c>
      <c r="O14" s="255">
        <f t="shared" si="33"/>
        <v>29213</v>
      </c>
      <c r="P14" s="33">
        <v>0.0</v>
      </c>
      <c r="Q14" s="33">
        <v>20800.0</v>
      </c>
      <c r="R14" s="33">
        <f>'LT Heat Pumps'!CE5</f>
        <v>163852</v>
      </c>
      <c r="S14" s="258">
        <f t="shared" ref="S14:S17" si="35">R14+Q14</f>
        <v>184652</v>
      </c>
      <c r="T14" s="258">
        <f t="shared" ref="T14:T17" si="36">$J$12-S14</f>
        <v>131845</v>
      </c>
      <c r="U14" s="253">
        <f t="shared" ref="U14:U17" si="37">$G14 + P14</f>
        <v>0</v>
      </c>
      <c r="V14" s="258">
        <f t="shared" ref="V14:V17" si="38">$L$12-U14</f>
        <v>0</v>
      </c>
      <c r="W14" s="258">
        <f t="shared" ref="W14:W17" si="39">S14+U14</f>
        <v>184652</v>
      </c>
      <c r="X14" s="258">
        <f t="shared" ref="X14:X17" si="40">$N$12-W14</f>
        <v>131845</v>
      </c>
      <c r="Y14" s="33">
        <v>0.0</v>
      </c>
      <c r="Z14" s="33">
        <v>20800.0</v>
      </c>
      <c r="AA14" s="33">
        <f>'LT Heat Pumps'!CE7</f>
        <v>199758</v>
      </c>
      <c r="AB14" s="259">
        <f t="shared" ref="AB14:AB17" si="41">AA14+Z14</f>
        <v>220558</v>
      </c>
      <c r="AC14" s="259">
        <f t="shared" ref="AC14:AC17" si="42">$J$12-AB14</f>
        <v>95939</v>
      </c>
      <c r="AD14" s="254">
        <f t="shared" ref="AD14:AD17" si="43">$G14 + Y14</f>
        <v>0</v>
      </c>
      <c r="AE14" s="259">
        <f t="shared" ref="AE14:AE17" si="44">$L$12-AD14</f>
        <v>0</v>
      </c>
      <c r="AF14" s="259">
        <f t="shared" ref="AF14:AF17" si="45">AB14+AD14</f>
        <v>220558</v>
      </c>
      <c r="AG14" s="259">
        <f t="shared" ref="AG14:AG17" si="46">$N$12-AF14</f>
        <v>95939</v>
      </c>
    </row>
    <row r="15">
      <c r="A15" s="5" t="s">
        <v>445</v>
      </c>
      <c r="B15" s="5">
        <v>4.0</v>
      </c>
      <c r="C15" s="33">
        <v>0.0</v>
      </c>
      <c r="D15" s="248">
        <v>1.5</v>
      </c>
      <c r="E15" s="248">
        <f t="shared" si="26"/>
        <v>2</v>
      </c>
      <c r="F15" s="249">
        <f t="shared" si="34"/>
        <v>0</v>
      </c>
      <c r="G15" s="33">
        <f t="shared" si="27"/>
        <v>0</v>
      </c>
      <c r="H15" s="33">
        <v>0.0</v>
      </c>
      <c r="I15" s="33">
        <f>'LT Heat Pumps Schedule 24'!CE3</f>
        <v>315656</v>
      </c>
      <c r="J15" s="255">
        <f t="shared" si="28"/>
        <v>315656</v>
      </c>
      <c r="K15" s="255">
        <f t="shared" si="29"/>
        <v>841</v>
      </c>
      <c r="L15" s="255">
        <f t="shared" si="30"/>
        <v>0</v>
      </c>
      <c r="M15" s="255">
        <f t="shared" si="31"/>
        <v>0</v>
      </c>
      <c r="N15" s="255">
        <f t="shared" si="32"/>
        <v>315656</v>
      </c>
      <c r="O15" s="255">
        <f t="shared" si="33"/>
        <v>841</v>
      </c>
      <c r="P15" s="33">
        <v>0.0</v>
      </c>
      <c r="Q15" s="33">
        <v>20800.0</v>
      </c>
      <c r="R15" s="33">
        <f>'LT Heat Pumps Schedule 24'!CE5</f>
        <v>162759</v>
      </c>
      <c r="S15" s="258">
        <f t="shared" si="35"/>
        <v>183559</v>
      </c>
      <c r="T15" s="258">
        <f t="shared" si="36"/>
        <v>132938</v>
      </c>
      <c r="U15" s="253">
        <f t="shared" si="37"/>
        <v>0</v>
      </c>
      <c r="V15" s="258">
        <f t="shared" si="38"/>
        <v>0</v>
      </c>
      <c r="W15" s="258">
        <f t="shared" si="39"/>
        <v>183559</v>
      </c>
      <c r="X15" s="258">
        <f t="shared" si="40"/>
        <v>132938</v>
      </c>
      <c r="Y15" s="33">
        <v>0.0</v>
      </c>
      <c r="Z15" s="33">
        <v>20800.0</v>
      </c>
      <c r="AA15" s="33">
        <f>'LT Heat Pumps Schedule 24'!CE7</f>
        <v>219375</v>
      </c>
      <c r="AB15" s="259">
        <f t="shared" si="41"/>
        <v>240175</v>
      </c>
      <c r="AC15" s="259">
        <f t="shared" si="42"/>
        <v>76322</v>
      </c>
      <c r="AD15" s="254">
        <f t="shared" si="43"/>
        <v>0</v>
      </c>
      <c r="AE15" s="259">
        <f t="shared" si="44"/>
        <v>0</v>
      </c>
      <c r="AF15" s="259">
        <f t="shared" si="45"/>
        <v>240175</v>
      </c>
      <c r="AG15" s="259">
        <f t="shared" si="46"/>
        <v>76322</v>
      </c>
    </row>
    <row r="16">
      <c r="A16" s="5" t="s">
        <v>446</v>
      </c>
      <c r="B16" s="5">
        <v>4.0</v>
      </c>
      <c r="C16" s="33">
        <v>0.0</v>
      </c>
      <c r="D16" s="248">
        <v>1.0</v>
      </c>
      <c r="E16" s="248">
        <f t="shared" si="26"/>
        <v>0</v>
      </c>
      <c r="F16" s="249">
        <f t="shared" si="34"/>
        <v>0</v>
      </c>
      <c r="G16" s="33">
        <f t="shared" si="27"/>
        <v>0</v>
      </c>
      <c r="H16" s="33">
        <v>0.0</v>
      </c>
      <c r="I16" s="33">
        <f>'HT Heat Pumps'!CD3</f>
        <v>359134</v>
      </c>
      <c r="J16" s="255">
        <f t="shared" si="28"/>
        <v>359134</v>
      </c>
      <c r="K16" s="255">
        <f t="shared" si="29"/>
        <v>-42637</v>
      </c>
      <c r="L16" s="255">
        <f t="shared" si="30"/>
        <v>0</v>
      </c>
      <c r="M16" s="255">
        <f t="shared" si="31"/>
        <v>0</v>
      </c>
      <c r="N16" s="255">
        <f t="shared" si="32"/>
        <v>359134</v>
      </c>
      <c r="O16" s="255">
        <f t="shared" si="33"/>
        <v>-42637</v>
      </c>
      <c r="P16" s="33">
        <v>0.0</v>
      </c>
      <c r="Q16" s="33">
        <v>20800.0</v>
      </c>
      <c r="R16" s="33">
        <f>'HT Heat Pumps'!CD5</f>
        <v>236464</v>
      </c>
      <c r="S16" s="258">
        <f t="shared" si="35"/>
        <v>257264</v>
      </c>
      <c r="T16" s="258">
        <f t="shared" si="36"/>
        <v>59233</v>
      </c>
      <c r="U16" s="253">
        <f t="shared" si="37"/>
        <v>0</v>
      </c>
      <c r="V16" s="258">
        <f t="shared" si="38"/>
        <v>0</v>
      </c>
      <c r="W16" s="258">
        <f t="shared" si="39"/>
        <v>257264</v>
      </c>
      <c r="X16" s="258">
        <f t="shared" si="40"/>
        <v>59233</v>
      </c>
      <c r="Y16" s="33">
        <v>0.0</v>
      </c>
      <c r="Z16" s="33">
        <v>20800.0</v>
      </c>
      <c r="AA16" s="33">
        <f>'HT Heat Pumps'!CD7</f>
        <v>270283</v>
      </c>
      <c r="AB16" s="259">
        <f t="shared" si="41"/>
        <v>291083</v>
      </c>
      <c r="AC16" s="259">
        <f t="shared" si="42"/>
        <v>25414</v>
      </c>
      <c r="AD16" s="254">
        <f t="shared" si="43"/>
        <v>0</v>
      </c>
      <c r="AE16" s="259">
        <f t="shared" si="44"/>
        <v>0</v>
      </c>
      <c r="AF16" s="259">
        <f t="shared" si="45"/>
        <v>291083</v>
      </c>
      <c r="AG16" s="259">
        <f t="shared" si="46"/>
        <v>25414</v>
      </c>
    </row>
    <row r="17">
      <c r="A17" s="5" t="s">
        <v>447</v>
      </c>
      <c r="B17" s="5">
        <v>1.0</v>
      </c>
      <c r="C17" s="33">
        <v>0.0</v>
      </c>
      <c r="D17" s="248">
        <v>1.0</v>
      </c>
      <c r="E17" s="248">
        <f t="shared" si="26"/>
        <v>0</v>
      </c>
      <c r="F17" s="249">
        <f t="shared" si="34"/>
        <v>0</v>
      </c>
      <c r="G17" s="33">
        <f t="shared" si="27"/>
        <v>0</v>
      </c>
      <c r="H17" s="33">
        <v>0.0</v>
      </c>
      <c r="I17" s="33">
        <f>'Electric Boiler'!CF3</f>
        <v>538348</v>
      </c>
      <c r="J17" s="255">
        <f t="shared" si="28"/>
        <v>538348</v>
      </c>
      <c r="K17" s="255">
        <f t="shared" si="29"/>
        <v>-221851</v>
      </c>
      <c r="L17" s="255">
        <f t="shared" si="30"/>
        <v>0</v>
      </c>
      <c r="M17" s="255">
        <f t="shared" si="31"/>
        <v>0</v>
      </c>
      <c r="N17" s="255">
        <f t="shared" si="32"/>
        <v>538348</v>
      </c>
      <c r="O17" s="255">
        <f t="shared" si="33"/>
        <v>-221851</v>
      </c>
      <c r="P17" s="33">
        <v>0.0</v>
      </c>
      <c r="Q17" s="33">
        <v>20800.0</v>
      </c>
      <c r="R17" s="33">
        <f>'Electric Boiler'!CF5</f>
        <v>416945</v>
      </c>
      <c r="S17" s="258">
        <f t="shared" si="35"/>
        <v>437745</v>
      </c>
      <c r="T17" s="258">
        <f t="shared" si="36"/>
        <v>-121248</v>
      </c>
      <c r="U17" s="253">
        <f t="shared" si="37"/>
        <v>0</v>
      </c>
      <c r="V17" s="258">
        <f t="shared" si="38"/>
        <v>0</v>
      </c>
      <c r="W17" s="258">
        <f t="shared" si="39"/>
        <v>437745</v>
      </c>
      <c r="X17" s="258">
        <f t="shared" si="40"/>
        <v>-121248</v>
      </c>
      <c r="Y17" s="33">
        <v>0.0</v>
      </c>
      <c r="Z17" s="33">
        <v>20800.0</v>
      </c>
      <c r="AA17" s="33">
        <f>'Electric Boiler'!CF7</f>
        <v>446884</v>
      </c>
      <c r="AB17" s="259">
        <f t="shared" si="41"/>
        <v>467684</v>
      </c>
      <c r="AC17" s="259">
        <f t="shared" si="42"/>
        <v>-151187</v>
      </c>
      <c r="AD17" s="254">
        <f t="shared" si="43"/>
        <v>0</v>
      </c>
      <c r="AE17" s="259">
        <f t="shared" si="44"/>
        <v>0</v>
      </c>
      <c r="AF17" s="259">
        <f t="shared" si="45"/>
        <v>467684</v>
      </c>
      <c r="AG17" s="259">
        <f t="shared" si="46"/>
        <v>-151187</v>
      </c>
    </row>
    <row r="19">
      <c r="A19" s="119" t="s">
        <v>450</v>
      </c>
    </row>
    <row r="20">
      <c r="A20" s="5" t="s">
        <v>451</v>
      </c>
    </row>
    <row r="21">
      <c r="A21" s="5" t="s">
        <v>452</v>
      </c>
    </row>
    <row r="22">
      <c r="A22" s="5" t="s">
        <v>453</v>
      </c>
    </row>
    <row r="24">
      <c r="A24" s="5" t="s">
        <v>454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5" t="s">
        <v>455</v>
      </c>
    </row>
    <row r="26">
      <c r="A26" s="5" t="s">
        <v>456</v>
      </c>
      <c r="E26" s="5">
        <v>177600.0</v>
      </c>
    </row>
    <row r="27">
      <c r="A27" s="5" t="s">
        <v>457</v>
      </c>
      <c r="E27" s="5">
        <v>208028.0</v>
      </c>
    </row>
    <row r="28">
      <c r="A28" s="5" t="s">
        <v>458</v>
      </c>
      <c r="E28" s="5">
        <v>158805.0</v>
      </c>
    </row>
    <row r="29">
      <c r="A29" s="5" t="s">
        <v>459</v>
      </c>
      <c r="E29" s="5">
        <f>E27-E26</f>
        <v>30428</v>
      </c>
    </row>
    <row r="30">
      <c r="A30" s="5" t="s">
        <v>460</v>
      </c>
      <c r="E30" s="5">
        <f>E28-E29</f>
        <v>128377</v>
      </c>
    </row>
    <row r="32">
      <c r="A32" s="5" t="s">
        <v>461</v>
      </c>
      <c r="E32" s="5">
        <v>215689.0</v>
      </c>
    </row>
    <row r="33">
      <c r="A33" s="5" t="s">
        <v>462</v>
      </c>
      <c r="E33" s="5">
        <v>173836.0</v>
      </c>
    </row>
    <row r="34">
      <c r="A34" s="5" t="s">
        <v>463</v>
      </c>
      <c r="E34" s="5">
        <f>E32-E26</f>
        <v>38089</v>
      </c>
    </row>
    <row r="35">
      <c r="A35" s="5" t="s">
        <v>464</v>
      </c>
      <c r="E35" s="5">
        <f>E33-E34</f>
        <v>135747</v>
      </c>
    </row>
    <row r="37">
      <c r="A37" s="5" t="s">
        <v>465</v>
      </c>
      <c r="E37" s="5">
        <v>231010.0</v>
      </c>
    </row>
    <row r="38">
      <c r="A38" s="5" t="s">
        <v>466</v>
      </c>
      <c r="E38" s="5">
        <v>205379.0</v>
      </c>
    </row>
    <row r="39">
      <c r="A39" s="5" t="s">
        <v>467</v>
      </c>
      <c r="E39" s="5">
        <f>E37-E26</f>
        <v>53410</v>
      </c>
    </row>
    <row r="40">
      <c r="A40" s="5" t="s">
        <v>468</v>
      </c>
      <c r="E40" s="5">
        <f>E38-E39</f>
        <v>151969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455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2026-05-02T00:15:57Z</dcterms:created>
  <dc:creator>Hannah Chavla</dc:creator>
</cp:coreProperties>
</file>