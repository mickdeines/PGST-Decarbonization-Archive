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ting Load Disagg" sheetId="1" r:id="rId5"/>
    <sheet state="visible" name="HX Design Matrix" sheetId="2" r:id="rId6"/>
    <sheet state="visible" name="Presentable Matrix" sheetId="3" r:id="rId7"/>
    <sheet state="visible" name="Figure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<sst xmlns="http://schemas.openxmlformats.org/spreadsheetml/2006/main" count="337" uniqueCount="128">
  <si>
    <t>BTU/gal</t>
  </si>
  <si>
    <t>BTU/gal P</t>
  </si>
  <si>
    <t>Total Boiler load</t>
  </si>
  <si>
    <t>Total Load</t>
  </si>
  <si>
    <t>gallons/yr</t>
  </si>
  <si>
    <t>BTU/yr</t>
  </si>
  <si>
    <t>BTU/hr</t>
  </si>
  <si>
    <t>W</t>
  </si>
  <si>
    <t>kW</t>
  </si>
  <si>
    <t>Longhouse LxW</t>
  </si>
  <si>
    <t>95x63</t>
  </si>
  <si>
    <t>Longhouse Height</t>
  </si>
  <si>
    <t>20-22</t>
  </si>
  <si>
    <t>Longhouse SQFT</t>
  </si>
  <si>
    <t>Longhouse S1</t>
  </si>
  <si>
    <t>Longhouse S2</t>
  </si>
  <si>
    <t>Longhouse S3</t>
  </si>
  <si>
    <t>Longhouse S4</t>
  </si>
  <si>
    <t>SUM</t>
  </si>
  <si>
    <t>Ed. Center LxW</t>
  </si>
  <si>
    <t>83x49</t>
  </si>
  <si>
    <t>Ed. Center Height</t>
  </si>
  <si>
    <t>Ed. Center SQFT</t>
  </si>
  <si>
    <t>Ed. Center S1</t>
  </si>
  <si>
    <t>Ed. Center S2</t>
  </si>
  <si>
    <t>Ed. Center S3</t>
  </si>
  <si>
    <t>Ed. Center S4</t>
  </si>
  <si>
    <t>TOTAL</t>
  </si>
  <si>
    <t>LH %</t>
  </si>
  <si>
    <t>MMBTU/yr</t>
  </si>
  <si>
    <t>EDC %</t>
  </si>
  <si>
    <t>Q=UA(LMTD)</t>
  </si>
  <si>
    <t>EWT 195 -&gt; 140</t>
  </si>
  <si>
    <t>EAT 55 - 70</t>
  </si>
  <si>
    <t>Ed. Center Heating Load</t>
  </si>
  <si>
    <t>LWT 170-95</t>
  </si>
  <si>
    <t>Q</t>
  </si>
  <si>
    <t>LAT 105 - 95</t>
  </si>
  <si>
    <t>Changing EAT</t>
  </si>
  <si>
    <t>EWT</t>
  </si>
  <si>
    <t>EAT</t>
  </si>
  <si>
    <t>LWT</t>
  </si>
  <si>
    <t>LAT</t>
  </si>
  <si>
    <t>dT1</t>
  </si>
  <si>
    <t>dT2</t>
  </si>
  <si>
    <t>LMTD</t>
  </si>
  <si>
    <t>UA</t>
  </si>
  <si>
    <t>Scaling Factor</t>
  </si>
  <si>
    <t>Changing LAT</t>
  </si>
  <si>
    <t>BAU</t>
  </si>
  <si>
    <t>A</t>
  </si>
  <si>
    <t>B</t>
  </si>
  <si>
    <t>C</t>
  </si>
  <si>
    <t>D</t>
  </si>
  <si>
    <t>E</t>
  </si>
  <si>
    <t>F</t>
  </si>
  <si>
    <t>G</t>
  </si>
  <si>
    <t>H</t>
  </si>
  <si>
    <t>Scenario</t>
  </si>
  <si>
    <t>Q [MMBTU/yr]</t>
  </si>
  <si>
    <t>EWT [F]</t>
  </si>
  <si>
    <t>EAT [F]</t>
  </si>
  <si>
    <t>LWT [F]</t>
  </si>
  <si>
    <t>LAT [F]</t>
  </si>
  <si>
    <t>UA [MMBtu/yr*F]</t>
  </si>
  <si>
    <t>New EWT, Const LAT, Low EAT, High LWT</t>
  </si>
  <si>
    <t>New EWT, Const LAT, Low EAT, Low LWT</t>
  </si>
  <si>
    <t>New EWT, Const LAT, High EAT, High LWT</t>
  </si>
  <si>
    <t>New EWT, Const LAT, High EAT, Low LWT</t>
  </si>
  <si>
    <t>New EWT, Const EAT, High LWT, Low LAT</t>
  </si>
  <si>
    <t>New EWT, Const EAT, High LWT, High LAT</t>
  </si>
  <si>
    <t>New EWT, Const EAT, Low LWT, Low LAT</t>
  </si>
  <si>
    <t>New EWT, Const EAT, Low LWT, High LAT</t>
  </si>
  <si>
    <t>Twater, in (hot)</t>
  </si>
  <si>
    <t>&gt;&gt;&gt;&gt;&gt;&gt;&gt;&gt;&gt;&gt;&gt;&gt;&gt;&gt;&gt;&gt;&gt;&gt;&gt;&gt;&gt;&gt;&gt;&gt;&gt;&gt;&gt;&gt;&gt;&gt;&gt;&gt;&gt;&gt;&gt;&gt;&gt;&gt;</t>
  </si>
  <si>
    <t>Twater, out (cold)</t>
  </si>
  <si>
    <t xml:space="preserve">LMTD = </t>
  </si>
  <si>
    <t>dT1 - dT2</t>
  </si>
  <si>
    <t>Tair, out (hot)</t>
  </si>
  <si>
    <t>&lt;&lt;&lt;&lt;&lt;&lt;&lt;&lt;&lt;&lt;&lt;&lt;&lt;&lt;&lt;&lt;&lt;&lt;&lt;&lt;&lt;&lt;&lt;&lt;&lt;&lt;&lt;&lt;&lt;&lt;&lt;&lt;&lt;&lt;&lt;&lt;&lt;&lt;</t>
  </si>
  <si>
    <t>Tair, in (cold)</t>
  </si>
  <si>
    <t>ln ( dT1 / dT2 )</t>
  </si>
  <si>
    <t>FCU Model</t>
  </si>
  <si>
    <t>190F Power [kW]</t>
  </si>
  <si>
    <t>140F Power [kW]</t>
  </si>
  <si>
    <t>%</t>
  </si>
  <si>
    <t>% Reduction</t>
  </si>
  <si>
    <t>Peak Load [kW]</t>
  </si>
  <si>
    <t>190F Units Needed</t>
  </si>
  <si>
    <t>140F Units Needed</t>
  </si>
  <si>
    <t>New Units</t>
  </si>
  <si>
    <t>HE-Z 50/RPM-50</t>
  </si>
  <si>
    <t>w=Cp*m*p*dT</t>
  </si>
  <si>
    <t>HE-Z 70/RPM-70</t>
  </si>
  <si>
    <t>HE-Z 100/RPM-100-4</t>
  </si>
  <si>
    <t>HE-Z 100/RPM-100-5</t>
  </si>
  <si>
    <t xml:space="preserve">Average cost of replacing heat exchanger </t>
  </si>
  <si>
    <t>range</t>
  </si>
  <si>
    <t>FCU</t>
  </si>
  <si>
    <t>190F [BTU/hr]</t>
  </si>
  <si>
    <t>CFM [ft^3/min]</t>
  </si>
  <si>
    <t>m^3/s</t>
  </si>
  <si>
    <t>p [kg/m^3]</t>
  </si>
  <si>
    <t>Cp [J/kgK]</t>
  </si>
  <si>
    <t>dT (190)</t>
  </si>
  <si>
    <t>EAT [60F -&gt; K]</t>
  </si>
  <si>
    <t>LWT [K]</t>
  </si>
  <si>
    <t>d(WT)</t>
  </si>
  <si>
    <t>https://rahnindustries.com/2023/03/24/heat-exchanger-replacement-cost-guide/</t>
  </si>
  <si>
    <t>Heat pump heat exchanger 2-4k</t>
  </si>
  <si>
    <t>160F [BTU/hr]</t>
  </si>
  <si>
    <t>dT (160)</t>
  </si>
  <si>
    <t>Boiler heat exchanger 2-4.5k</t>
  </si>
  <si>
    <t>140F [BTU/hr]</t>
  </si>
  <si>
    <t>dT (140)</t>
  </si>
  <si>
    <t>CAPEX</t>
  </si>
  <si>
    <t>Bar chart w full life time costs w error bars</t>
  </si>
  <si>
    <t>Propane boiler</t>
  </si>
  <si>
    <t>EBoiler</t>
  </si>
  <si>
    <t>LTHP+FCU(#s)</t>
  </si>
  <si>
    <t>HTHP</t>
  </si>
  <si>
    <t>mmbtu</t>
  </si>
  <si>
    <t>2000 Wh</t>
  </si>
  <si>
    <t>1 yr</t>
  </si>
  <si>
    <t>yr</t>
  </si>
  <si>
    <t>1mmbtu</t>
  </si>
  <si>
    <t>8760 hr</t>
  </si>
  <si>
    <t>Wh/yr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</si>
</sst>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"/>
    <numFmt numFmtId="165" formatCode="0.000"/>
    <numFmt numFmtId="166" formatCode="0.000000"/>
    <numFmt numFmtId="167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rgb="FFFFFFFF"/>
      <name val="Arial"/>
      <scheme val="minor"/>
    </font>
    <font>
      <u/>
      <color rgb="FF0000FF"/>
    </font>
  </fonts>
  <fills count="1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990000"/>
        <bgColor rgb="FF990000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6" xfId="0" applyFont="1" applyNumberFormat="1"/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1" fillId="0" fontId="1" numFmtId="165" xfId="0" applyBorder="1" applyFont="1" applyNumberFormat="1"/>
    <xf borderId="1" fillId="0" fontId="1" numFmtId="165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2" fontId="1" numFmtId="165" xfId="0" applyBorder="1" applyFill="1" applyFont="1" applyNumberFormat="1"/>
    <xf borderId="1" fillId="2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2" fontId="1" numFmtId="0" xfId="0" applyBorder="1" applyFont="1"/>
    <xf borderId="1" fillId="2" fontId="2" numFmtId="0" xfId="0" applyBorder="1" applyFont="1"/>
    <xf borderId="1" fillId="5" fontId="2" numFmtId="0" xfId="0" applyBorder="1" applyFill="1" applyFont="1"/>
    <xf borderId="0" fillId="0" fontId="1" numFmtId="1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1" numFmtId="1" xfId="0" applyAlignment="1" applyBorder="1" applyFont="1" applyNumberFormat="1">
      <alignment readingOrder="0"/>
    </xf>
    <xf borderId="1" fillId="0" fontId="1" numFmtId="2" xfId="0" applyAlignment="1" applyBorder="1" applyFont="1" applyNumberFormat="1">
      <alignment readingOrder="0"/>
    </xf>
    <xf borderId="1" fillId="0" fontId="2" numFmtId="2" xfId="0" applyAlignment="1" applyBorder="1" applyFont="1" applyNumberFormat="1">
      <alignment readingOrder="0"/>
    </xf>
    <xf borderId="1" fillId="2" fontId="1" numFmtId="0" xfId="0" applyAlignment="1" applyBorder="1" applyFont="1">
      <alignment horizontal="left" readingOrder="0"/>
    </xf>
    <xf borderId="1" fillId="2" fontId="1" numFmtId="1" xfId="0" applyBorder="1" applyFont="1" applyNumberFormat="1"/>
    <xf borderId="1" fillId="2" fontId="1" numFmtId="1" xfId="0" applyAlignment="1" applyBorder="1" applyFont="1" applyNumberFormat="1">
      <alignment readingOrder="0"/>
    </xf>
    <xf borderId="1" fillId="2" fontId="1" numFmtId="2" xfId="0" applyBorder="1" applyFont="1" applyNumberFormat="1"/>
    <xf borderId="1" fillId="2" fontId="2" numFmtId="2" xfId="0" applyBorder="1" applyFont="1" applyNumberFormat="1"/>
    <xf borderId="1" fillId="6" fontId="1" numFmtId="1" xfId="0" applyAlignment="1" applyBorder="1" applyFill="1" applyFont="1" applyNumberFormat="1">
      <alignment readingOrder="0"/>
    </xf>
    <xf borderId="1" fillId="0" fontId="1" numFmtId="0" xfId="0" applyBorder="1" applyFont="1"/>
    <xf borderId="1" fillId="0" fontId="1" numFmtId="2" xfId="0" applyBorder="1" applyFont="1" applyNumberFormat="1"/>
    <xf borderId="1" fillId="0" fontId="2" numFmtId="2" xfId="0" applyBorder="1" applyFont="1" applyNumberFormat="1"/>
    <xf borderId="1" fillId="4" fontId="1" numFmtId="1" xfId="0" applyAlignment="1" applyBorder="1" applyFont="1" applyNumberFormat="1">
      <alignment readingOrder="0"/>
    </xf>
    <xf borderId="1" fillId="6" fontId="1" numFmtId="0" xfId="0" applyAlignment="1" applyBorder="1" applyFont="1">
      <alignment readingOrder="0"/>
    </xf>
    <xf borderId="0" fillId="0" fontId="1" numFmtId="1" xfId="0" applyFont="1" applyNumberFormat="1"/>
    <xf borderId="0" fillId="0" fontId="1" numFmtId="2" xfId="0" applyFont="1" applyNumberFormat="1"/>
    <xf borderId="0" fillId="0" fontId="2" numFmtId="2" xfId="0" applyFont="1" applyNumberFormat="1"/>
    <xf borderId="0" fillId="7" fontId="4" numFmtId="0" xfId="0" applyAlignment="1" applyFill="1" applyFont="1">
      <alignment horizontal="center"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Fill="1" applyFont="1"/>
    <xf borderId="0" fillId="4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 vertical="center"/>
    </xf>
    <xf borderId="5" fillId="0" fontId="1" numFmtId="0" xfId="0" applyAlignment="1" applyBorder="1" applyFon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6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15" fontId="4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7" xfId="0" applyAlignment="1" applyBorder="1" applyFont="1" applyNumberFormat="1">
      <alignment horizontal="center" readingOrder="0"/>
    </xf>
    <xf borderId="1" fillId="0" fontId="1" numFmtId="167" xfId="0" applyAlignment="1" applyBorder="1" applyFont="1" applyNumberFormat="1">
      <alignment horizontal="center"/>
    </xf>
    <xf borderId="1" fillId="0" fontId="1" numFmtId="2" xfId="0" applyAlignment="1" applyBorder="1" applyFont="1" applyNumberForma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16" fontId="1" numFmtId="0" xfId="0" applyFill="1" applyFont="1"/>
    <xf borderId="0" fillId="0" fontId="5" numFmtId="0" xfId="0" applyAlignment="1" applyFont="1">
      <alignment readingOrder="0"/>
    </xf>
    <xf borderId="1" fillId="0" fontId="1" numFmtId="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104775</xdr:rowOff>
    </xdr:from>
    <xdr:ext cx="4876800" cy="2124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ahnindustries.com/2023/03/24/heat-exchanger-replacement-cost-guide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2">
      <c r="B2" s="1" t="s">
        <v>0</v>
      </c>
      <c r="C2" s="1">
        <v>91500.0</v>
      </c>
      <c r="D2" s="1" t="s">
        <v>1</v>
      </c>
    </row>
    <row r="4">
      <c r="B4" s="1" t="s">
        <v>2</v>
      </c>
      <c r="C4" s="2">
        <v>0.413</v>
      </c>
      <c r="D4" s="1" t="s">
        <v>3</v>
      </c>
    </row>
    <row r="5">
      <c r="B5" s="1" t="s">
        <v>2</v>
      </c>
      <c r="C5" s="1">
        <v>9800.0</v>
      </c>
      <c r="D5" s="1" t="s">
        <v>4</v>
      </c>
    </row>
    <row r="6">
      <c r="B6" s="1" t="s">
        <v>2</v>
      </c>
      <c r="C6" s="3">
        <f>C5*C2</f>
        <v>896700000</v>
      </c>
      <c r="D6" s="1" t="s">
        <v>5</v>
      </c>
      <c r="E6" s="3">
        <f>C6/8760</f>
        <v>102363.0137</v>
      </c>
      <c r="F6" s="1" t="s">
        <v>6</v>
      </c>
      <c r="G6" s="3">
        <f>E6*0.29307107</f>
        <v>29999.63795</v>
      </c>
      <c r="H6" s="1" t="s">
        <v>7</v>
      </c>
      <c r="I6" s="3">
        <f>G6/1000</f>
        <v>29.99963795</v>
      </c>
      <c r="J6" s="1" t="s">
        <v>8</v>
      </c>
    </row>
    <row r="7">
      <c r="I7" s="3">
        <f>I6*C28</f>
        <v>10.66449611</v>
      </c>
      <c r="J7" s="1" t="s">
        <v>8</v>
      </c>
    </row>
    <row r="8">
      <c r="B8" s="1" t="s">
        <v>9</v>
      </c>
      <c r="C8" s="4" t="s">
        <v>10</v>
      </c>
    </row>
    <row r="9">
      <c r="B9" s="1" t="s">
        <v>11</v>
      </c>
      <c r="C9" s="4" t="s">
        <v>12</v>
      </c>
    </row>
    <row r="10">
      <c r="B10" s="1" t="s">
        <v>13</v>
      </c>
      <c r="C10" s="4">
        <v>6000.0</v>
      </c>
    </row>
    <row r="11">
      <c r="B11" s="1" t="s">
        <v>14</v>
      </c>
      <c r="C11" s="4">
        <v>1995.0</v>
      </c>
    </row>
    <row r="12">
      <c r="B12" s="1" t="s">
        <v>15</v>
      </c>
      <c r="C12" s="4">
        <v>1995.0</v>
      </c>
    </row>
    <row r="13">
      <c r="B13" s="1" t="s">
        <v>16</v>
      </c>
      <c r="C13" s="4">
        <v>1250.0</v>
      </c>
    </row>
    <row r="14">
      <c r="B14" s="1" t="s">
        <v>17</v>
      </c>
      <c r="C14" s="4">
        <v>1386.0</v>
      </c>
    </row>
    <row r="15">
      <c r="B15" s="5" t="s">
        <v>18</v>
      </c>
      <c r="C15" s="6">
        <f>SUM(C10:C14)</f>
        <v>12626</v>
      </c>
    </row>
    <row r="16">
      <c r="C16" s="7"/>
    </row>
    <row r="17">
      <c r="B17" s="1" t="s">
        <v>19</v>
      </c>
      <c r="C17" s="4" t="s">
        <v>20</v>
      </c>
    </row>
    <row r="18">
      <c r="B18" s="1" t="s">
        <v>21</v>
      </c>
      <c r="C18" s="8">
        <v>46307.0</v>
      </c>
    </row>
    <row r="19">
      <c r="B19" s="1" t="s">
        <v>22</v>
      </c>
      <c r="C19" s="4">
        <v>4060.0</v>
      </c>
    </row>
    <row r="20">
      <c r="B20" s="1" t="s">
        <v>23</v>
      </c>
      <c r="C20" s="4">
        <v>830.0</v>
      </c>
    </row>
    <row r="21">
      <c r="B21" s="1" t="s">
        <v>24</v>
      </c>
      <c r="C21" s="4">
        <v>996.0</v>
      </c>
    </row>
    <row r="22">
      <c r="B22" s="1" t="s">
        <v>25</v>
      </c>
      <c r="C22" s="4">
        <v>539.0</v>
      </c>
    </row>
    <row r="23">
      <c r="B23" s="1" t="s">
        <v>26</v>
      </c>
      <c r="C23" s="4">
        <v>539.0</v>
      </c>
    </row>
    <row r="24">
      <c r="B24" s="5" t="s">
        <v>18</v>
      </c>
      <c r="C24" s="9">
        <f>SUM(C19:C23)</f>
        <v>6964</v>
      </c>
    </row>
    <row r="26">
      <c r="B26" s="5" t="s">
        <v>27</v>
      </c>
      <c r="C26" s="9">
        <f>SUM(C15,C24)</f>
        <v>19590</v>
      </c>
    </row>
    <row r="27">
      <c r="B27" s="10" t="s">
        <v>28</v>
      </c>
      <c r="C27" s="11">
        <f>C15/C26</f>
        <v>0.6445125064</v>
      </c>
      <c r="D27" s="12">
        <f t="shared" ref="D27:D28" si="1">C27*$C$6</f>
        <v>577934364.5</v>
      </c>
      <c r="E27" s="13" t="s">
        <v>5</v>
      </c>
      <c r="F27" s="12">
        <f t="shared" ref="F27:F28" si="2">D27/1000000</f>
        <v>577.9343645</v>
      </c>
      <c r="G27" s="13" t="s">
        <v>29</v>
      </c>
    </row>
    <row r="28">
      <c r="B28" s="10" t="s">
        <v>30</v>
      </c>
      <c r="C28" s="11">
        <f>C24/C26</f>
        <v>0.3554874936</v>
      </c>
      <c r="D28" s="12">
        <f t="shared" si="1"/>
        <v>318765635.5</v>
      </c>
      <c r="E28" s="13" t="s">
        <v>5</v>
      </c>
      <c r="F28" s="12">
        <f t="shared" si="2"/>
        <v>318.7656355</v>
      </c>
      <c r="G28" s="13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min="8" max="10" width="12.63" outlineLevel="1"/>
    <col collapsed="1" min="19" max="19" width="12.63"/>
    <col hidden="1" min="20" max="22" width="12.63" outlineLevel="1"/>
  </cols>
  <sheetData>
    <row r="1">
      <c r="L1" s="9"/>
      <c r="X1" s="9"/>
    </row>
    <row r="2">
      <c r="B2" s="14" t="s">
        <v>31</v>
      </c>
      <c r="F2" s="1" t="s">
        <v>32</v>
      </c>
      <c r="L2" s="9"/>
      <c r="X2" s="9"/>
    </row>
    <row r="3">
      <c r="F3" s="1" t="s">
        <v>33</v>
      </c>
      <c r="L3" s="9"/>
      <c r="X3" s="9"/>
    </row>
    <row r="4">
      <c r="B4" s="15" t="s">
        <v>34</v>
      </c>
      <c r="C4" s="16"/>
      <c r="D4" s="17"/>
      <c r="F4" s="1" t="s">
        <v>35</v>
      </c>
      <c r="L4" s="9"/>
      <c r="X4" s="9"/>
    </row>
    <row r="5">
      <c r="B5" s="14" t="s">
        <v>36</v>
      </c>
      <c r="C5" s="18">
        <v>318.7656355283308</v>
      </c>
      <c r="D5" s="19" t="s">
        <v>29</v>
      </c>
      <c r="F5" s="1" t="s">
        <v>37</v>
      </c>
      <c r="L5" s="9"/>
      <c r="X5" s="9"/>
    </row>
    <row r="6">
      <c r="L6" s="9"/>
      <c r="X6" s="9"/>
    </row>
    <row r="7">
      <c r="B7" s="14" t="s">
        <v>38</v>
      </c>
      <c r="C7" s="14" t="s">
        <v>36</v>
      </c>
      <c r="D7" s="14" t="s">
        <v>39</v>
      </c>
      <c r="E7" s="14" t="s">
        <v>40</v>
      </c>
      <c r="F7" s="14" t="s">
        <v>41</v>
      </c>
      <c r="G7" s="14" t="s">
        <v>42</v>
      </c>
      <c r="H7" s="14" t="s">
        <v>43</v>
      </c>
      <c r="I7" s="14" t="s">
        <v>44</v>
      </c>
      <c r="J7" s="14" t="s">
        <v>45</v>
      </c>
      <c r="K7" s="14" t="s">
        <v>46</v>
      </c>
      <c r="L7" s="20" t="s">
        <v>47</v>
      </c>
      <c r="N7" s="14" t="s">
        <v>48</v>
      </c>
      <c r="O7" s="14" t="s">
        <v>36</v>
      </c>
      <c r="P7" s="14" t="s">
        <v>39</v>
      </c>
      <c r="Q7" s="14" t="s">
        <v>40</v>
      </c>
      <c r="R7" s="14" t="s">
        <v>41</v>
      </c>
      <c r="S7" s="14" t="s">
        <v>42</v>
      </c>
      <c r="T7" s="14" t="s">
        <v>43</v>
      </c>
      <c r="U7" s="14" t="s">
        <v>44</v>
      </c>
      <c r="V7" s="14" t="s">
        <v>45</v>
      </c>
      <c r="W7" s="14" t="s">
        <v>46</v>
      </c>
      <c r="X7" s="20" t="s">
        <v>47</v>
      </c>
    </row>
    <row r="8">
      <c r="B8" s="14" t="s">
        <v>49</v>
      </c>
      <c r="C8" s="21">
        <f t="shared" ref="C8:C16" si="1">$C$5</f>
        <v>318.7656355</v>
      </c>
      <c r="D8" s="22">
        <v>195.0</v>
      </c>
      <c r="E8" s="23">
        <v>55.0</v>
      </c>
      <c r="F8" s="24">
        <v>170.0</v>
      </c>
      <c r="G8" s="22">
        <v>105.0</v>
      </c>
      <c r="H8" s="25">
        <f t="shared" ref="H8:H16" si="2">D8-G8</f>
        <v>90</v>
      </c>
      <c r="I8" s="25">
        <f t="shared" ref="I8:I16" si="3">F8-E8</f>
        <v>115</v>
      </c>
      <c r="J8" s="25">
        <f t="shared" ref="J8:J16" si="4">(H8-I8)/(LN(H8/I8))</f>
        <v>101.9898389</v>
      </c>
      <c r="K8" s="25">
        <f t="shared" ref="K8:K16" si="5">C8/J8</f>
        <v>3.125464645</v>
      </c>
      <c r="L8" s="26"/>
      <c r="N8" s="14" t="s">
        <v>49</v>
      </c>
      <c r="O8" s="21">
        <f t="shared" ref="O8:O16" si="6">$C$5</f>
        <v>318.7656355</v>
      </c>
      <c r="P8" s="22">
        <v>195.0</v>
      </c>
      <c r="Q8" s="22">
        <v>65.0</v>
      </c>
      <c r="R8" s="24">
        <v>170.0</v>
      </c>
      <c r="S8" s="23">
        <v>95.0</v>
      </c>
      <c r="T8" s="25">
        <f t="shared" ref="T8:T16" si="7">P8-S8</f>
        <v>100</v>
      </c>
      <c r="U8" s="25">
        <f t="shared" ref="U8:U16" si="8">R8-Q8</f>
        <v>105</v>
      </c>
      <c r="V8" s="25">
        <f t="shared" ref="V8:V16" si="9">(T8-U8)/(LN(T8/U8))</f>
        <v>102.4796716</v>
      </c>
      <c r="W8" s="25">
        <f t="shared" ref="W8:W16" si="10">O8/V8</f>
        <v>3.110525538</v>
      </c>
      <c r="X8" s="26"/>
    </row>
    <row r="9">
      <c r="B9" s="14" t="s">
        <v>50</v>
      </c>
      <c r="C9" s="21">
        <f t="shared" si="1"/>
        <v>318.7656355</v>
      </c>
      <c r="D9" s="22">
        <v>140.0</v>
      </c>
      <c r="E9" s="23">
        <v>55.0</v>
      </c>
      <c r="F9" s="24">
        <v>130.0</v>
      </c>
      <c r="G9" s="22">
        <v>105.0</v>
      </c>
      <c r="H9" s="25">
        <f t="shared" si="2"/>
        <v>35</v>
      </c>
      <c r="I9" s="25">
        <f t="shared" si="3"/>
        <v>75</v>
      </c>
      <c r="J9" s="25">
        <f t="shared" si="4"/>
        <v>52.48379204</v>
      </c>
      <c r="K9" s="25">
        <f t="shared" si="5"/>
        <v>6.073601451</v>
      </c>
      <c r="L9" s="27">
        <f t="shared" ref="L9:L16" si="11">K9/$K$8</f>
        <v>1.943263528</v>
      </c>
      <c r="N9" s="14" t="s">
        <v>50</v>
      </c>
      <c r="O9" s="21">
        <f t="shared" si="6"/>
        <v>318.7656355</v>
      </c>
      <c r="P9" s="22">
        <v>140.0</v>
      </c>
      <c r="Q9" s="22">
        <v>65.0</v>
      </c>
      <c r="R9" s="24">
        <v>130.0</v>
      </c>
      <c r="S9" s="23">
        <v>95.0</v>
      </c>
      <c r="T9" s="25">
        <f t="shared" si="7"/>
        <v>45</v>
      </c>
      <c r="U9" s="25">
        <f t="shared" si="8"/>
        <v>65</v>
      </c>
      <c r="V9" s="25">
        <f t="shared" si="9"/>
        <v>54.38850217</v>
      </c>
      <c r="W9" s="25">
        <f t="shared" si="10"/>
        <v>5.860901162</v>
      </c>
      <c r="X9" s="27">
        <f t="shared" ref="X9:X16" si="12">W9/$K$8</f>
        <v>1.875209554</v>
      </c>
    </row>
    <row r="10">
      <c r="B10" s="14" t="s">
        <v>51</v>
      </c>
      <c r="C10" s="21">
        <f t="shared" si="1"/>
        <v>318.7656355</v>
      </c>
      <c r="D10" s="22">
        <v>140.0</v>
      </c>
      <c r="E10" s="23">
        <v>55.0</v>
      </c>
      <c r="F10" s="24">
        <v>125.0</v>
      </c>
      <c r="G10" s="22">
        <v>105.0</v>
      </c>
      <c r="H10" s="25">
        <f t="shared" si="2"/>
        <v>35</v>
      </c>
      <c r="I10" s="25">
        <f t="shared" si="3"/>
        <v>70</v>
      </c>
      <c r="J10" s="25">
        <f t="shared" si="4"/>
        <v>50.49432643</v>
      </c>
      <c r="K10" s="25">
        <f t="shared" si="5"/>
        <v>6.312900044</v>
      </c>
      <c r="L10" s="27">
        <f t="shared" si="11"/>
        <v>2.019827693</v>
      </c>
      <c r="N10" s="14" t="s">
        <v>51</v>
      </c>
      <c r="O10" s="21">
        <f t="shared" si="6"/>
        <v>318.7656355</v>
      </c>
      <c r="P10" s="22">
        <v>140.0</v>
      </c>
      <c r="Q10" s="22">
        <v>65.0</v>
      </c>
      <c r="R10" s="24">
        <v>125.0</v>
      </c>
      <c r="S10" s="23">
        <v>95.0</v>
      </c>
      <c r="T10" s="25">
        <f t="shared" si="7"/>
        <v>45</v>
      </c>
      <c r="U10" s="25">
        <f t="shared" si="8"/>
        <v>60</v>
      </c>
      <c r="V10" s="25">
        <f t="shared" si="9"/>
        <v>52.14089245</v>
      </c>
      <c r="W10" s="25">
        <f t="shared" si="10"/>
        <v>6.11354391</v>
      </c>
      <c r="X10" s="27">
        <f t="shared" si="12"/>
        <v>1.956043214</v>
      </c>
    </row>
    <row r="11">
      <c r="B11" s="14" t="s">
        <v>52</v>
      </c>
      <c r="C11" s="21">
        <f t="shared" si="1"/>
        <v>318.7656355</v>
      </c>
      <c r="D11" s="22">
        <v>140.0</v>
      </c>
      <c r="E11" s="23">
        <v>55.0</v>
      </c>
      <c r="F11" s="24">
        <v>120.0</v>
      </c>
      <c r="G11" s="22">
        <v>105.0</v>
      </c>
      <c r="H11" s="25">
        <f t="shared" si="2"/>
        <v>35</v>
      </c>
      <c r="I11" s="25">
        <f t="shared" si="3"/>
        <v>65</v>
      </c>
      <c r="J11" s="25">
        <f t="shared" si="4"/>
        <v>48.46219689</v>
      </c>
      <c r="K11" s="25">
        <f t="shared" si="5"/>
        <v>6.577614223</v>
      </c>
      <c r="L11" s="27">
        <f t="shared" si="11"/>
        <v>2.104523637</v>
      </c>
      <c r="N11" s="14" t="s">
        <v>52</v>
      </c>
      <c r="O11" s="21">
        <f t="shared" si="6"/>
        <v>318.7656355</v>
      </c>
      <c r="P11" s="22">
        <v>140.0</v>
      </c>
      <c r="Q11" s="22">
        <v>65.0</v>
      </c>
      <c r="R11" s="24">
        <v>120.0</v>
      </c>
      <c r="S11" s="23">
        <v>95.0</v>
      </c>
      <c r="T11" s="25">
        <f t="shared" si="7"/>
        <v>45</v>
      </c>
      <c r="U11" s="25">
        <f t="shared" si="8"/>
        <v>55</v>
      </c>
      <c r="V11" s="25">
        <f t="shared" si="9"/>
        <v>49.83288655</v>
      </c>
      <c r="W11" s="25">
        <f t="shared" si="10"/>
        <v>6.396692177</v>
      </c>
      <c r="X11" s="27">
        <f t="shared" si="12"/>
        <v>2.04663719</v>
      </c>
    </row>
    <row r="12">
      <c r="B12" s="14" t="s">
        <v>53</v>
      </c>
      <c r="C12" s="21">
        <f t="shared" si="1"/>
        <v>318.7656355</v>
      </c>
      <c r="D12" s="22">
        <v>140.0</v>
      </c>
      <c r="E12" s="23">
        <v>55.0</v>
      </c>
      <c r="F12" s="24">
        <v>115.0</v>
      </c>
      <c r="G12" s="22">
        <v>105.0</v>
      </c>
      <c r="H12" s="25">
        <f t="shared" si="2"/>
        <v>35</v>
      </c>
      <c r="I12" s="25">
        <f t="shared" si="3"/>
        <v>60</v>
      </c>
      <c r="J12" s="25">
        <f t="shared" si="4"/>
        <v>46.38249036</v>
      </c>
      <c r="K12" s="25">
        <f t="shared" si="5"/>
        <v>6.872542484</v>
      </c>
      <c r="L12" s="27">
        <f t="shared" si="11"/>
        <v>2.198886651</v>
      </c>
      <c r="N12" s="14" t="s">
        <v>53</v>
      </c>
      <c r="O12" s="21">
        <f t="shared" si="6"/>
        <v>318.7656355</v>
      </c>
      <c r="P12" s="22">
        <v>140.0</v>
      </c>
      <c r="Q12" s="22">
        <v>65.0</v>
      </c>
      <c r="R12" s="24">
        <v>115.0</v>
      </c>
      <c r="S12" s="23">
        <v>95.0</v>
      </c>
      <c r="T12" s="25">
        <f t="shared" si="7"/>
        <v>45</v>
      </c>
      <c r="U12" s="25">
        <f t="shared" si="8"/>
        <v>50</v>
      </c>
      <c r="V12" s="25">
        <f t="shared" si="9"/>
        <v>47.45610791</v>
      </c>
      <c r="W12" s="25">
        <f t="shared" si="10"/>
        <v>6.717062347</v>
      </c>
      <c r="X12" s="27">
        <f t="shared" si="12"/>
        <v>2.149140403</v>
      </c>
    </row>
    <row r="13">
      <c r="B13" s="14" t="s">
        <v>54</v>
      </c>
      <c r="C13" s="21">
        <f t="shared" si="1"/>
        <v>318.7656355</v>
      </c>
      <c r="D13" s="22">
        <v>140.0</v>
      </c>
      <c r="E13" s="23">
        <v>55.0</v>
      </c>
      <c r="F13" s="24">
        <v>110.0</v>
      </c>
      <c r="G13" s="22">
        <v>105.0</v>
      </c>
      <c r="H13" s="25">
        <f t="shared" si="2"/>
        <v>35</v>
      </c>
      <c r="I13" s="25">
        <f t="shared" si="3"/>
        <v>55</v>
      </c>
      <c r="J13" s="25">
        <f t="shared" si="4"/>
        <v>44.24924394</v>
      </c>
      <c r="K13" s="25">
        <f t="shared" si="5"/>
        <v>7.203866261</v>
      </c>
      <c r="L13" s="27">
        <f t="shared" si="11"/>
        <v>2.304894497</v>
      </c>
      <c r="N13" s="14" t="s">
        <v>54</v>
      </c>
      <c r="O13" s="21">
        <f t="shared" si="6"/>
        <v>318.7656355</v>
      </c>
      <c r="P13" s="22">
        <v>140.0</v>
      </c>
      <c r="Q13" s="22">
        <v>65.0</v>
      </c>
      <c r="R13" s="24">
        <v>110.0</v>
      </c>
      <c r="S13" s="23">
        <v>95.0</v>
      </c>
      <c r="T13" s="25">
        <f t="shared" si="7"/>
        <v>45</v>
      </c>
      <c r="U13" s="25">
        <f t="shared" si="8"/>
        <v>45</v>
      </c>
      <c r="V13" s="25" t="str">
        <f t="shared" si="9"/>
        <v>#DIV/0!</v>
      </c>
      <c r="W13" s="25" t="str">
        <f t="shared" si="10"/>
        <v>#DIV/0!</v>
      </c>
      <c r="X13" s="27" t="str">
        <f t="shared" si="12"/>
        <v>#DIV/0!</v>
      </c>
    </row>
    <row r="14">
      <c r="B14" s="14" t="s">
        <v>55</v>
      </c>
      <c r="C14" s="21">
        <f t="shared" si="1"/>
        <v>318.7656355</v>
      </c>
      <c r="D14" s="22">
        <v>140.0</v>
      </c>
      <c r="E14" s="23">
        <v>55.0</v>
      </c>
      <c r="F14" s="24">
        <v>105.0</v>
      </c>
      <c r="G14" s="22">
        <v>105.0</v>
      </c>
      <c r="H14" s="25">
        <f t="shared" si="2"/>
        <v>35</v>
      </c>
      <c r="I14" s="25">
        <f t="shared" si="3"/>
        <v>50</v>
      </c>
      <c r="J14" s="25">
        <f t="shared" si="4"/>
        <v>42.05509878</v>
      </c>
      <c r="K14" s="25">
        <f t="shared" si="5"/>
        <v>7.579714345</v>
      </c>
      <c r="L14" s="27">
        <f t="shared" si="11"/>
        <v>2.425148004</v>
      </c>
      <c r="N14" s="14" t="s">
        <v>55</v>
      </c>
      <c r="O14" s="21">
        <f t="shared" si="6"/>
        <v>318.7656355</v>
      </c>
      <c r="P14" s="22">
        <v>140.0</v>
      </c>
      <c r="Q14" s="22">
        <v>65.0</v>
      </c>
      <c r="R14" s="24">
        <v>105.0</v>
      </c>
      <c r="S14" s="23">
        <v>95.0</v>
      </c>
      <c r="T14" s="25">
        <f t="shared" si="7"/>
        <v>45</v>
      </c>
      <c r="U14" s="25">
        <f t="shared" si="8"/>
        <v>40</v>
      </c>
      <c r="V14" s="25">
        <f t="shared" si="9"/>
        <v>42.45093508</v>
      </c>
      <c r="W14" s="25">
        <f t="shared" si="10"/>
        <v>7.509036843</v>
      </c>
      <c r="X14" s="27">
        <f t="shared" si="12"/>
        <v>2.402534566</v>
      </c>
    </row>
    <row r="15">
      <c r="B15" s="14" t="s">
        <v>56</v>
      </c>
      <c r="C15" s="21">
        <f t="shared" si="1"/>
        <v>318.7656355</v>
      </c>
      <c r="D15" s="22">
        <v>140.0</v>
      </c>
      <c r="E15" s="23">
        <v>55.0</v>
      </c>
      <c r="F15" s="24">
        <v>95.0</v>
      </c>
      <c r="G15" s="22">
        <v>105.0</v>
      </c>
      <c r="H15" s="25">
        <f t="shared" si="2"/>
        <v>35</v>
      </c>
      <c r="I15" s="25">
        <f t="shared" si="3"/>
        <v>40</v>
      </c>
      <c r="J15" s="25">
        <f t="shared" si="4"/>
        <v>37.44437845</v>
      </c>
      <c r="K15" s="25">
        <f t="shared" si="5"/>
        <v>8.513043847</v>
      </c>
      <c r="L15" s="27">
        <f t="shared" si="11"/>
        <v>2.723769044</v>
      </c>
      <c r="N15" s="14" t="s">
        <v>56</v>
      </c>
      <c r="O15" s="21">
        <f t="shared" si="6"/>
        <v>318.7656355</v>
      </c>
      <c r="P15" s="22">
        <v>140.0</v>
      </c>
      <c r="Q15" s="22">
        <v>65.0</v>
      </c>
      <c r="R15" s="24">
        <v>95.0</v>
      </c>
      <c r="S15" s="23">
        <v>95.0</v>
      </c>
      <c r="T15" s="25">
        <f t="shared" si="7"/>
        <v>45</v>
      </c>
      <c r="U15" s="25">
        <f t="shared" si="8"/>
        <v>30</v>
      </c>
      <c r="V15" s="25">
        <f t="shared" si="9"/>
        <v>36.99455194</v>
      </c>
      <c r="W15" s="25">
        <f t="shared" si="10"/>
        <v>8.616556191</v>
      </c>
      <c r="X15" s="27">
        <f t="shared" si="12"/>
        <v>2.75688807</v>
      </c>
    </row>
    <row r="16">
      <c r="B16" s="14" t="s">
        <v>57</v>
      </c>
      <c r="C16" s="21">
        <f t="shared" si="1"/>
        <v>318.7656355</v>
      </c>
      <c r="D16" s="22">
        <v>140.0</v>
      </c>
      <c r="E16" s="23">
        <v>55.0</v>
      </c>
      <c r="F16" s="24">
        <v>90.0001</v>
      </c>
      <c r="G16" s="22">
        <v>105.0</v>
      </c>
      <c r="H16" s="25">
        <f t="shared" si="2"/>
        <v>35</v>
      </c>
      <c r="I16" s="25">
        <f t="shared" si="3"/>
        <v>35.0001</v>
      </c>
      <c r="J16" s="25">
        <f t="shared" si="4"/>
        <v>35.00005</v>
      </c>
      <c r="K16" s="25">
        <f t="shared" si="5"/>
        <v>9.107576576</v>
      </c>
      <c r="L16" s="27">
        <f t="shared" si="11"/>
        <v>2.913991234</v>
      </c>
      <c r="N16" s="14" t="s">
        <v>57</v>
      </c>
      <c r="O16" s="21">
        <f t="shared" si="6"/>
        <v>318.7656355</v>
      </c>
      <c r="P16" s="22">
        <v>140.0</v>
      </c>
      <c r="Q16" s="22">
        <v>65.0</v>
      </c>
      <c r="R16" s="24">
        <v>90.0</v>
      </c>
      <c r="S16" s="23">
        <v>95.0</v>
      </c>
      <c r="T16" s="25">
        <f t="shared" si="7"/>
        <v>45</v>
      </c>
      <c r="U16" s="25">
        <f t="shared" si="8"/>
        <v>25</v>
      </c>
      <c r="V16" s="25">
        <f t="shared" si="9"/>
        <v>34.02595056</v>
      </c>
      <c r="W16" s="25">
        <f t="shared" si="10"/>
        <v>9.36830949</v>
      </c>
      <c r="X16" s="27">
        <f t="shared" si="12"/>
        <v>2.997413362</v>
      </c>
    </row>
    <row r="17">
      <c r="L17" s="9"/>
      <c r="X17" s="9"/>
    </row>
    <row r="18">
      <c r="L18" s="9"/>
      <c r="X18" s="9"/>
    </row>
    <row r="19">
      <c r="B19" s="14" t="s">
        <v>38</v>
      </c>
      <c r="C19" s="14" t="s">
        <v>36</v>
      </c>
      <c r="D19" s="14" t="s">
        <v>39</v>
      </c>
      <c r="E19" s="14" t="s">
        <v>40</v>
      </c>
      <c r="F19" s="14" t="s">
        <v>41</v>
      </c>
      <c r="G19" s="14" t="s">
        <v>42</v>
      </c>
      <c r="H19" s="14" t="s">
        <v>43</v>
      </c>
      <c r="I19" s="14" t="s">
        <v>44</v>
      </c>
      <c r="J19" s="14" t="s">
        <v>45</v>
      </c>
      <c r="K19" s="14" t="s">
        <v>46</v>
      </c>
      <c r="L19" s="20" t="s">
        <v>47</v>
      </c>
      <c r="N19" s="14" t="s">
        <v>48</v>
      </c>
      <c r="O19" s="14" t="s">
        <v>36</v>
      </c>
      <c r="P19" s="14" t="s">
        <v>39</v>
      </c>
      <c r="Q19" s="14" t="s">
        <v>40</v>
      </c>
      <c r="R19" s="14" t="s">
        <v>41</v>
      </c>
      <c r="S19" s="14" t="s">
        <v>42</v>
      </c>
      <c r="T19" s="14" t="s">
        <v>43</v>
      </c>
      <c r="U19" s="14" t="s">
        <v>44</v>
      </c>
      <c r="V19" s="14" t="s">
        <v>45</v>
      </c>
      <c r="W19" s="14" t="s">
        <v>46</v>
      </c>
      <c r="X19" s="20" t="s">
        <v>47</v>
      </c>
    </row>
    <row r="20">
      <c r="B20" s="14" t="s">
        <v>49</v>
      </c>
      <c r="C20" s="21">
        <f t="shared" ref="C20:C28" si="13">$C$5</f>
        <v>318.7656355</v>
      </c>
      <c r="D20" s="22">
        <v>195.0</v>
      </c>
      <c r="E20" s="23">
        <v>60.0</v>
      </c>
      <c r="F20" s="24">
        <v>170.0</v>
      </c>
      <c r="G20" s="22">
        <v>105.0</v>
      </c>
      <c r="H20" s="25">
        <f t="shared" ref="H20:H28" si="14">D20-G20</f>
        <v>90</v>
      </c>
      <c r="I20" s="25">
        <f t="shared" ref="I20:I28" si="15">F20-E20</f>
        <v>110</v>
      </c>
      <c r="J20" s="25">
        <f t="shared" ref="J20:J28" si="16">(H20-I20)/(LN(H20/I20))</f>
        <v>99.66577309</v>
      </c>
      <c r="K20" s="25">
        <f t="shared" ref="K20:K28" si="17">C20/J20</f>
        <v>3.198346089</v>
      </c>
      <c r="L20" s="26"/>
      <c r="N20" s="14" t="s">
        <v>49</v>
      </c>
      <c r="O20" s="21">
        <f t="shared" ref="O20:O28" si="18">$C$5</f>
        <v>318.7656355</v>
      </c>
      <c r="P20" s="22">
        <v>195.0</v>
      </c>
      <c r="Q20" s="22">
        <v>65.0</v>
      </c>
      <c r="R20" s="24">
        <v>170.0</v>
      </c>
      <c r="S20" s="23">
        <v>100.0</v>
      </c>
      <c r="T20" s="25">
        <f t="shared" ref="T20:T28" si="19">P20-S20</f>
        <v>95</v>
      </c>
      <c r="U20" s="25">
        <f t="shared" ref="U20:U28" si="20">R20-Q20</f>
        <v>105</v>
      </c>
      <c r="V20" s="25">
        <f t="shared" ref="V20:V28" si="21">(T20-U20)/(LN(T20/U20))</f>
        <v>99.91661104</v>
      </c>
      <c r="W20" s="25">
        <f t="shared" ref="W20:W28" si="22">O20/V20</f>
        <v>3.190316727</v>
      </c>
      <c r="X20" s="26"/>
    </row>
    <row r="21">
      <c r="B21" s="14" t="s">
        <v>50</v>
      </c>
      <c r="C21" s="21">
        <f t="shared" si="13"/>
        <v>318.7656355</v>
      </c>
      <c r="D21" s="22">
        <v>140.0</v>
      </c>
      <c r="E21" s="23">
        <v>60.0</v>
      </c>
      <c r="F21" s="24">
        <v>130.0</v>
      </c>
      <c r="G21" s="22">
        <v>105.0</v>
      </c>
      <c r="H21" s="25">
        <f t="shared" si="14"/>
        <v>35</v>
      </c>
      <c r="I21" s="25">
        <f t="shared" si="15"/>
        <v>70</v>
      </c>
      <c r="J21" s="25">
        <f t="shared" si="16"/>
        <v>50.49432643</v>
      </c>
      <c r="K21" s="25">
        <f t="shared" si="17"/>
        <v>6.312900044</v>
      </c>
      <c r="L21" s="27">
        <f t="shared" ref="L21:L28" si="23">K21/$K$8</f>
        <v>2.019827693</v>
      </c>
      <c r="N21" s="14" t="s">
        <v>50</v>
      </c>
      <c r="O21" s="21">
        <f t="shared" si="18"/>
        <v>318.7656355</v>
      </c>
      <c r="P21" s="22">
        <v>140.0</v>
      </c>
      <c r="Q21" s="22">
        <v>65.0</v>
      </c>
      <c r="R21" s="24">
        <v>130.0</v>
      </c>
      <c r="S21" s="23">
        <v>100.0</v>
      </c>
      <c r="T21" s="25">
        <f t="shared" si="19"/>
        <v>40</v>
      </c>
      <c r="U21" s="25">
        <f t="shared" si="20"/>
        <v>65</v>
      </c>
      <c r="V21" s="25">
        <f t="shared" si="21"/>
        <v>51.49247692</v>
      </c>
      <c r="W21" s="25">
        <f t="shared" si="22"/>
        <v>6.190528298</v>
      </c>
      <c r="X21" s="27">
        <f t="shared" ref="X21:X28" si="24">W21/$K$8</f>
        <v>1.980674556</v>
      </c>
    </row>
    <row r="22">
      <c r="B22" s="14" t="s">
        <v>51</v>
      </c>
      <c r="C22" s="21">
        <f t="shared" si="13"/>
        <v>318.7656355</v>
      </c>
      <c r="D22" s="22">
        <v>140.0</v>
      </c>
      <c r="E22" s="23">
        <v>60.0</v>
      </c>
      <c r="F22" s="24">
        <v>125.0</v>
      </c>
      <c r="G22" s="22">
        <v>105.0</v>
      </c>
      <c r="H22" s="25">
        <f t="shared" si="14"/>
        <v>35</v>
      </c>
      <c r="I22" s="25">
        <f t="shared" si="15"/>
        <v>65</v>
      </c>
      <c r="J22" s="25">
        <f t="shared" si="16"/>
        <v>48.46219689</v>
      </c>
      <c r="K22" s="25">
        <f t="shared" si="17"/>
        <v>6.577614223</v>
      </c>
      <c r="L22" s="27">
        <f t="shared" si="23"/>
        <v>2.104523637</v>
      </c>
      <c r="N22" s="14" t="s">
        <v>51</v>
      </c>
      <c r="O22" s="21">
        <f t="shared" si="18"/>
        <v>318.7656355</v>
      </c>
      <c r="P22" s="22">
        <v>140.0</v>
      </c>
      <c r="Q22" s="22">
        <v>65.0</v>
      </c>
      <c r="R22" s="24">
        <v>125.0</v>
      </c>
      <c r="S22" s="23">
        <v>100.0</v>
      </c>
      <c r="T22" s="25">
        <f t="shared" si="19"/>
        <v>40</v>
      </c>
      <c r="U22" s="25">
        <f t="shared" si="20"/>
        <v>60</v>
      </c>
      <c r="V22" s="25">
        <f t="shared" si="21"/>
        <v>49.32606925</v>
      </c>
      <c r="W22" s="25">
        <f t="shared" si="22"/>
        <v>6.462417144</v>
      </c>
      <c r="X22" s="27">
        <f t="shared" si="24"/>
        <v>2.067666052</v>
      </c>
    </row>
    <row r="23">
      <c r="B23" s="14" t="s">
        <v>52</v>
      </c>
      <c r="C23" s="21">
        <f t="shared" si="13"/>
        <v>318.7656355</v>
      </c>
      <c r="D23" s="22">
        <v>140.0</v>
      </c>
      <c r="E23" s="23">
        <v>60.0</v>
      </c>
      <c r="F23" s="24">
        <v>120.0</v>
      </c>
      <c r="G23" s="22">
        <v>105.0</v>
      </c>
      <c r="H23" s="25">
        <f t="shared" si="14"/>
        <v>35</v>
      </c>
      <c r="I23" s="25">
        <f t="shared" si="15"/>
        <v>60</v>
      </c>
      <c r="J23" s="25">
        <f t="shared" si="16"/>
        <v>46.38249036</v>
      </c>
      <c r="K23" s="25">
        <f t="shared" si="17"/>
        <v>6.872542484</v>
      </c>
      <c r="L23" s="27">
        <f t="shared" si="23"/>
        <v>2.198886651</v>
      </c>
      <c r="N23" s="14" t="s">
        <v>52</v>
      </c>
      <c r="O23" s="21">
        <f t="shared" si="18"/>
        <v>318.7656355</v>
      </c>
      <c r="P23" s="22">
        <v>140.0</v>
      </c>
      <c r="Q23" s="22">
        <v>65.0</v>
      </c>
      <c r="R23" s="24">
        <v>120.0</v>
      </c>
      <c r="S23" s="23">
        <v>100.0</v>
      </c>
      <c r="T23" s="25">
        <f t="shared" si="19"/>
        <v>40</v>
      </c>
      <c r="U23" s="25">
        <f t="shared" si="20"/>
        <v>55</v>
      </c>
      <c r="V23" s="25">
        <f t="shared" si="21"/>
        <v>47.10260403</v>
      </c>
      <c r="W23" s="25">
        <f t="shared" si="22"/>
        <v>6.767473732</v>
      </c>
      <c r="X23" s="27">
        <f t="shared" si="24"/>
        <v>2.165269648</v>
      </c>
    </row>
    <row r="24">
      <c r="B24" s="14" t="s">
        <v>53</v>
      </c>
      <c r="C24" s="21">
        <f t="shared" si="13"/>
        <v>318.7656355</v>
      </c>
      <c r="D24" s="22">
        <v>140.0</v>
      </c>
      <c r="E24" s="23">
        <v>60.0</v>
      </c>
      <c r="F24" s="24">
        <v>115.0</v>
      </c>
      <c r="G24" s="22">
        <v>105.0</v>
      </c>
      <c r="H24" s="25">
        <f t="shared" si="14"/>
        <v>35</v>
      </c>
      <c r="I24" s="25">
        <f t="shared" si="15"/>
        <v>55</v>
      </c>
      <c r="J24" s="25">
        <f t="shared" si="16"/>
        <v>44.24924394</v>
      </c>
      <c r="K24" s="25">
        <f t="shared" si="17"/>
        <v>7.203866261</v>
      </c>
      <c r="L24" s="27">
        <f t="shared" si="23"/>
        <v>2.304894497</v>
      </c>
      <c r="N24" s="14" t="s">
        <v>53</v>
      </c>
      <c r="O24" s="21">
        <f t="shared" si="18"/>
        <v>318.7656355</v>
      </c>
      <c r="P24" s="22">
        <v>140.0</v>
      </c>
      <c r="Q24" s="22">
        <v>65.0</v>
      </c>
      <c r="R24" s="24">
        <v>115.0</v>
      </c>
      <c r="S24" s="23">
        <v>100.0</v>
      </c>
      <c r="T24" s="25">
        <f t="shared" si="19"/>
        <v>40</v>
      </c>
      <c r="U24" s="25">
        <f t="shared" si="20"/>
        <v>50</v>
      </c>
      <c r="V24" s="25">
        <f t="shared" si="21"/>
        <v>44.81420118</v>
      </c>
      <c r="W24" s="25">
        <f t="shared" si="22"/>
        <v>7.113049595</v>
      </c>
      <c r="X24" s="27">
        <f t="shared" si="24"/>
        <v>2.275837485</v>
      </c>
    </row>
    <row r="25">
      <c r="B25" s="14" t="s">
        <v>54</v>
      </c>
      <c r="C25" s="21">
        <f t="shared" si="13"/>
        <v>318.7656355</v>
      </c>
      <c r="D25" s="22">
        <v>140.0</v>
      </c>
      <c r="E25" s="23">
        <v>60.0</v>
      </c>
      <c r="F25" s="24">
        <v>110.0</v>
      </c>
      <c r="G25" s="22">
        <v>105.0</v>
      </c>
      <c r="H25" s="25">
        <f t="shared" si="14"/>
        <v>35</v>
      </c>
      <c r="I25" s="25">
        <f t="shared" si="15"/>
        <v>50</v>
      </c>
      <c r="J25" s="25">
        <f t="shared" si="16"/>
        <v>42.05509878</v>
      </c>
      <c r="K25" s="25">
        <f t="shared" si="17"/>
        <v>7.579714345</v>
      </c>
      <c r="L25" s="27">
        <f t="shared" si="23"/>
        <v>2.425148004</v>
      </c>
      <c r="N25" s="14" t="s">
        <v>54</v>
      </c>
      <c r="O25" s="21">
        <f t="shared" si="18"/>
        <v>318.7656355</v>
      </c>
      <c r="P25" s="22">
        <v>140.0</v>
      </c>
      <c r="Q25" s="22">
        <v>65.0</v>
      </c>
      <c r="R25" s="24">
        <v>110.0</v>
      </c>
      <c r="S25" s="23">
        <v>100.0</v>
      </c>
      <c r="T25" s="25">
        <f t="shared" si="19"/>
        <v>40</v>
      </c>
      <c r="U25" s="25">
        <f t="shared" si="20"/>
        <v>45</v>
      </c>
      <c r="V25" s="25">
        <f t="shared" si="21"/>
        <v>42.45093508</v>
      </c>
      <c r="W25" s="25">
        <f t="shared" si="22"/>
        <v>7.509036843</v>
      </c>
      <c r="X25" s="27">
        <f t="shared" si="24"/>
        <v>2.402534566</v>
      </c>
    </row>
    <row r="26">
      <c r="B26" s="14" t="s">
        <v>55</v>
      </c>
      <c r="C26" s="21">
        <f t="shared" si="13"/>
        <v>318.7656355</v>
      </c>
      <c r="D26" s="22">
        <v>140.0</v>
      </c>
      <c r="E26" s="23">
        <v>60.0</v>
      </c>
      <c r="F26" s="24">
        <v>105.0</v>
      </c>
      <c r="G26" s="22">
        <v>105.0</v>
      </c>
      <c r="H26" s="25">
        <f t="shared" si="14"/>
        <v>35</v>
      </c>
      <c r="I26" s="25">
        <f t="shared" si="15"/>
        <v>45</v>
      </c>
      <c r="J26" s="25">
        <f t="shared" si="16"/>
        <v>39.79079143</v>
      </c>
      <c r="K26" s="25">
        <f t="shared" si="17"/>
        <v>8.011040345</v>
      </c>
      <c r="L26" s="27">
        <f t="shared" si="23"/>
        <v>2.563151805</v>
      </c>
      <c r="N26" s="14" t="s">
        <v>55</v>
      </c>
      <c r="O26" s="21">
        <f t="shared" si="18"/>
        <v>318.7656355</v>
      </c>
      <c r="P26" s="22">
        <v>140.0</v>
      </c>
      <c r="Q26" s="22">
        <v>65.0</v>
      </c>
      <c r="R26" s="24">
        <v>105.0</v>
      </c>
      <c r="S26" s="23">
        <v>100.0</v>
      </c>
      <c r="T26" s="25">
        <f t="shared" si="19"/>
        <v>40</v>
      </c>
      <c r="U26" s="25">
        <f t="shared" si="20"/>
        <v>40</v>
      </c>
      <c r="V26" s="25" t="str">
        <f t="shared" si="21"/>
        <v>#DIV/0!</v>
      </c>
      <c r="W26" s="25" t="str">
        <f t="shared" si="22"/>
        <v>#DIV/0!</v>
      </c>
      <c r="X26" s="27" t="str">
        <f t="shared" si="24"/>
        <v>#DIV/0!</v>
      </c>
    </row>
    <row r="27">
      <c r="B27" s="14" t="s">
        <v>56</v>
      </c>
      <c r="C27" s="21">
        <f t="shared" si="13"/>
        <v>318.7656355</v>
      </c>
      <c r="D27" s="22">
        <v>140.0</v>
      </c>
      <c r="E27" s="23">
        <v>60.0</v>
      </c>
      <c r="F27" s="24">
        <v>95.0</v>
      </c>
      <c r="G27" s="22">
        <v>105.0</v>
      </c>
      <c r="H27" s="25">
        <f t="shared" si="14"/>
        <v>35</v>
      </c>
      <c r="I27" s="25">
        <f t="shared" si="15"/>
        <v>35</v>
      </c>
      <c r="J27" s="25" t="str">
        <f t="shared" si="16"/>
        <v>#DIV/0!</v>
      </c>
      <c r="K27" s="25" t="str">
        <f t="shared" si="17"/>
        <v>#DIV/0!</v>
      </c>
      <c r="L27" s="27" t="str">
        <f t="shared" si="23"/>
        <v>#DIV/0!</v>
      </c>
      <c r="N27" s="14" t="s">
        <v>56</v>
      </c>
      <c r="O27" s="21">
        <f t="shared" si="18"/>
        <v>318.7656355</v>
      </c>
      <c r="P27" s="22">
        <v>140.0</v>
      </c>
      <c r="Q27" s="22">
        <v>65.0</v>
      </c>
      <c r="R27" s="24">
        <v>95.0</v>
      </c>
      <c r="S27" s="23">
        <v>100.0</v>
      </c>
      <c r="T27" s="25">
        <f t="shared" si="19"/>
        <v>40</v>
      </c>
      <c r="U27" s="25">
        <f t="shared" si="20"/>
        <v>30</v>
      </c>
      <c r="V27" s="25">
        <f t="shared" si="21"/>
        <v>34.76059497</v>
      </c>
      <c r="W27" s="25">
        <f t="shared" si="22"/>
        <v>9.170315866</v>
      </c>
      <c r="X27" s="27">
        <f t="shared" si="24"/>
        <v>2.934064822</v>
      </c>
    </row>
    <row r="28">
      <c r="B28" s="14" t="s">
        <v>57</v>
      </c>
      <c r="C28" s="21">
        <f t="shared" si="13"/>
        <v>318.7656355</v>
      </c>
      <c r="D28" s="22">
        <v>140.0</v>
      </c>
      <c r="E28" s="23">
        <v>60.0</v>
      </c>
      <c r="F28" s="24">
        <v>90.0</v>
      </c>
      <c r="G28" s="22">
        <v>105.0</v>
      </c>
      <c r="H28" s="25">
        <f t="shared" si="14"/>
        <v>35</v>
      </c>
      <c r="I28" s="25">
        <f t="shared" si="15"/>
        <v>30</v>
      </c>
      <c r="J28" s="25">
        <f t="shared" si="16"/>
        <v>32.43579597</v>
      </c>
      <c r="K28" s="25">
        <f t="shared" si="17"/>
        <v>9.827587884</v>
      </c>
      <c r="L28" s="27">
        <f t="shared" si="23"/>
        <v>3.1443606</v>
      </c>
      <c r="N28" s="14" t="s">
        <v>57</v>
      </c>
      <c r="O28" s="21">
        <f t="shared" si="18"/>
        <v>318.7656355</v>
      </c>
      <c r="P28" s="22">
        <v>140.0</v>
      </c>
      <c r="Q28" s="22">
        <v>65.0</v>
      </c>
      <c r="R28" s="24">
        <v>90.0</v>
      </c>
      <c r="S28" s="23">
        <v>100.0</v>
      </c>
      <c r="T28" s="25">
        <f t="shared" si="19"/>
        <v>40</v>
      </c>
      <c r="U28" s="25">
        <f t="shared" si="20"/>
        <v>25</v>
      </c>
      <c r="V28" s="25">
        <f t="shared" si="21"/>
        <v>31.91464718</v>
      </c>
      <c r="W28" s="25">
        <f t="shared" si="22"/>
        <v>9.988067038</v>
      </c>
      <c r="X28" s="27">
        <f t="shared" si="24"/>
        <v>3.195706295</v>
      </c>
    </row>
    <row r="29">
      <c r="L29" s="9"/>
      <c r="X29" s="9"/>
    </row>
    <row r="30">
      <c r="L30" s="9"/>
      <c r="X30" s="9"/>
    </row>
    <row r="31">
      <c r="B31" s="14" t="s">
        <v>38</v>
      </c>
      <c r="C31" s="14" t="s">
        <v>36</v>
      </c>
      <c r="D31" s="14" t="s">
        <v>39</v>
      </c>
      <c r="E31" s="14" t="s">
        <v>40</v>
      </c>
      <c r="F31" s="14" t="s">
        <v>41</v>
      </c>
      <c r="G31" s="14" t="s">
        <v>42</v>
      </c>
      <c r="H31" s="14" t="s">
        <v>43</v>
      </c>
      <c r="I31" s="14" t="s">
        <v>44</v>
      </c>
      <c r="J31" s="14" t="s">
        <v>45</v>
      </c>
      <c r="K31" s="14" t="s">
        <v>46</v>
      </c>
      <c r="L31" s="20" t="s">
        <v>47</v>
      </c>
      <c r="N31" s="14" t="s">
        <v>48</v>
      </c>
      <c r="O31" s="14" t="s">
        <v>36</v>
      </c>
      <c r="P31" s="14" t="s">
        <v>39</v>
      </c>
      <c r="Q31" s="14" t="s">
        <v>40</v>
      </c>
      <c r="R31" s="14" t="s">
        <v>41</v>
      </c>
      <c r="S31" s="14" t="s">
        <v>42</v>
      </c>
      <c r="T31" s="14" t="s">
        <v>43</v>
      </c>
      <c r="U31" s="14" t="s">
        <v>44</v>
      </c>
      <c r="V31" s="14" t="s">
        <v>45</v>
      </c>
      <c r="W31" s="14" t="s">
        <v>46</v>
      </c>
      <c r="X31" s="20" t="s">
        <v>47</v>
      </c>
    </row>
    <row r="32">
      <c r="B32" s="14" t="s">
        <v>49</v>
      </c>
      <c r="C32" s="21">
        <f t="shared" ref="C32:C40" si="25">$C$5</f>
        <v>318.7656355</v>
      </c>
      <c r="D32" s="22">
        <v>195.0</v>
      </c>
      <c r="E32" s="23">
        <v>65.0</v>
      </c>
      <c r="F32" s="24">
        <v>170.0</v>
      </c>
      <c r="G32" s="22">
        <v>105.0</v>
      </c>
      <c r="H32" s="25">
        <f t="shared" ref="H32:H40" si="26">D32-G32</f>
        <v>90</v>
      </c>
      <c r="I32" s="25">
        <f t="shared" ref="I32:I40" si="27">F32-E32</f>
        <v>105</v>
      </c>
      <c r="J32" s="25">
        <f t="shared" ref="J32:J40" si="28">(H32-I32)/(LN(H32/I32))</f>
        <v>97.30738792</v>
      </c>
      <c r="K32" s="25">
        <f t="shared" ref="K32:K40" si="29">C32/J32</f>
        <v>3.275862628</v>
      </c>
      <c r="L32" s="26"/>
      <c r="N32" s="14" t="s">
        <v>49</v>
      </c>
      <c r="O32" s="21">
        <f t="shared" ref="O32:O40" si="30">$C$5</f>
        <v>318.7656355</v>
      </c>
      <c r="P32" s="22">
        <v>195.0</v>
      </c>
      <c r="Q32" s="22">
        <v>65.0</v>
      </c>
      <c r="R32" s="24">
        <v>170.0</v>
      </c>
      <c r="S32" s="23">
        <v>105.0</v>
      </c>
      <c r="T32" s="25">
        <f t="shared" ref="T32:T40" si="31">P32-S32</f>
        <v>90</v>
      </c>
      <c r="U32" s="25">
        <f t="shared" ref="U32:U40" si="32">R32-Q32</f>
        <v>105</v>
      </c>
      <c r="V32" s="25">
        <f t="shared" ref="V32:V40" si="33">(T32-U32)/(LN(T32/U32))</f>
        <v>97.30738792</v>
      </c>
      <c r="W32" s="25">
        <f t="shared" ref="W32:W40" si="34">O32/V32</f>
        <v>3.275862628</v>
      </c>
      <c r="X32" s="26"/>
    </row>
    <row r="33">
      <c r="B33" s="14" t="s">
        <v>50</v>
      </c>
      <c r="C33" s="21">
        <f t="shared" si="25"/>
        <v>318.7656355</v>
      </c>
      <c r="D33" s="22">
        <v>140.0</v>
      </c>
      <c r="E33" s="23">
        <v>65.0</v>
      </c>
      <c r="F33" s="24">
        <v>130.0</v>
      </c>
      <c r="G33" s="22">
        <v>105.0</v>
      </c>
      <c r="H33" s="25">
        <f t="shared" si="26"/>
        <v>35</v>
      </c>
      <c r="I33" s="25">
        <f t="shared" si="27"/>
        <v>65</v>
      </c>
      <c r="J33" s="25">
        <f t="shared" si="28"/>
        <v>48.46219689</v>
      </c>
      <c r="K33" s="25">
        <f t="shared" si="29"/>
        <v>6.577614223</v>
      </c>
      <c r="L33" s="27">
        <f t="shared" ref="L33:L40" si="35">K33/$K$8</f>
        <v>2.104523637</v>
      </c>
      <c r="N33" s="14" t="s">
        <v>50</v>
      </c>
      <c r="O33" s="21">
        <f t="shared" si="30"/>
        <v>318.7656355</v>
      </c>
      <c r="P33" s="22">
        <v>140.0</v>
      </c>
      <c r="Q33" s="22">
        <v>65.0</v>
      </c>
      <c r="R33" s="24">
        <v>130.0</v>
      </c>
      <c r="S33" s="23">
        <v>105.0</v>
      </c>
      <c r="T33" s="25">
        <f t="shared" si="31"/>
        <v>35</v>
      </c>
      <c r="U33" s="25">
        <f t="shared" si="32"/>
        <v>65</v>
      </c>
      <c r="V33" s="25">
        <f t="shared" si="33"/>
        <v>48.46219689</v>
      </c>
      <c r="W33" s="25">
        <f t="shared" si="34"/>
        <v>6.577614223</v>
      </c>
      <c r="X33" s="27">
        <f t="shared" ref="X33:X40" si="36">W33/$K$8</f>
        <v>2.104523637</v>
      </c>
    </row>
    <row r="34">
      <c r="B34" s="14" t="s">
        <v>51</v>
      </c>
      <c r="C34" s="21">
        <f t="shared" si="25"/>
        <v>318.7656355</v>
      </c>
      <c r="D34" s="22">
        <v>140.0</v>
      </c>
      <c r="E34" s="23">
        <v>65.0</v>
      </c>
      <c r="F34" s="24">
        <v>125.0</v>
      </c>
      <c r="G34" s="22">
        <v>105.0</v>
      </c>
      <c r="H34" s="25">
        <f t="shared" si="26"/>
        <v>35</v>
      </c>
      <c r="I34" s="25">
        <f t="shared" si="27"/>
        <v>60</v>
      </c>
      <c r="J34" s="25">
        <f t="shared" si="28"/>
        <v>46.38249036</v>
      </c>
      <c r="K34" s="25">
        <f t="shared" si="29"/>
        <v>6.872542484</v>
      </c>
      <c r="L34" s="27">
        <f t="shared" si="35"/>
        <v>2.198886651</v>
      </c>
      <c r="N34" s="14" t="s">
        <v>51</v>
      </c>
      <c r="O34" s="21">
        <f t="shared" si="30"/>
        <v>318.7656355</v>
      </c>
      <c r="P34" s="22">
        <v>140.0</v>
      </c>
      <c r="Q34" s="22">
        <v>65.0</v>
      </c>
      <c r="R34" s="24">
        <v>125.0</v>
      </c>
      <c r="S34" s="23">
        <v>105.0</v>
      </c>
      <c r="T34" s="25">
        <f t="shared" si="31"/>
        <v>35</v>
      </c>
      <c r="U34" s="25">
        <f t="shared" si="32"/>
        <v>60</v>
      </c>
      <c r="V34" s="25">
        <f t="shared" si="33"/>
        <v>46.38249036</v>
      </c>
      <c r="W34" s="25">
        <f t="shared" si="34"/>
        <v>6.872542484</v>
      </c>
      <c r="X34" s="27">
        <f t="shared" si="36"/>
        <v>2.198886651</v>
      </c>
    </row>
    <row r="35">
      <c r="B35" s="14" t="s">
        <v>52</v>
      </c>
      <c r="C35" s="21">
        <f t="shared" si="25"/>
        <v>318.7656355</v>
      </c>
      <c r="D35" s="22">
        <v>140.0</v>
      </c>
      <c r="E35" s="23">
        <v>65.0</v>
      </c>
      <c r="F35" s="24">
        <v>120.0</v>
      </c>
      <c r="G35" s="22">
        <v>105.0</v>
      </c>
      <c r="H35" s="25">
        <f t="shared" si="26"/>
        <v>35</v>
      </c>
      <c r="I35" s="25">
        <f t="shared" si="27"/>
        <v>55</v>
      </c>
      <c r="J35" s="25">
        <f t="shared" si="28"/>
        <v>44.24924394</v>
      </c>
      <c r="K35" s="25">
        <f t="shared" si="29"/>
        <v>7.203866261</v>
      </c>
      <c r="L35" s="27">
        <f t="shared" si="35"/>
        <v>2.304894497</v>
      </c>
      <c r="N35" s="14" t="s">
        <v>52</v>
      </c>
      <c r="O35" s="21">
        <f t="shared" si="30"/>
        <v>318.7656355</v>
      </c>
      <c r="P35" s="22">
        <v>140.0</v>
      </c>
      <c r="Q35" s="22">
        <v>65.0</v>
      </c>
      <c r="R35" s="24">
        <v>120.0</v>
      </c>
      <c r="S35" s="23">
        <v>105.0</v>
      </c>
      <c r="T35" s="25">
        <f t="shared" si="31"/>
        <v>35</v>
      </c>
      <c r="U35" s="25">
        <f t="shared" si="32"/>
        <v>55</v>
      </c>
      <c r="V35" s="25">
        <f t="shared" si="33"/>
        <v>44.24924394</v>
      </c>
      <c r="W35" s="25">
        <f t="shared" si="34"/>
        <v>7.203866261</v>
      </c>
      <c r="X35" s="27">
        <f t="shared" si="36"/>
        <v>2.304894497</v>
      </c>
    </row>
    <row r="36">
      <c r="B36" s="14" t="s">
        <v>53</v>
      </c>
      <c r="C36" s="21">
        <f t="shared" si="25"/>
        <v>318.7656355</v>
      </c>
      <c r="D36" s="22">
        <v>140.0</v>
      </c>
      <c r="E36" s="23">
        <v>65.0</v>
      </c>
      <c r="F36" s="24">
        <v>115.0</v>
      </c>
      <c r="G36" s="22">
        <v>105.0</v>
      </c>
      <c r="H36" s="25">
        <f t="shared" si="26"/>
        <v>35</v>
      </c>
      <c r="I36" s="25">
        <f t="shared" si="27"/>
        <v>50</v>
      </c>
      <c r="J36" s="25">
        <f t="shared" si="28"/>
        <v>42.05509878</v>
      </c>
      <c r="K36" s="25">
        <f t="shared" si="29"/>
        <v>7.579714345</v>
      </c>
      <c r="L36" s="27">
        <f t="shared" si="35"/>
        <v>2.425148004</v>
      </c>
      <c r="N36" s="14" t="s">
        <v>53</v>
      </c>
      <c r="O36" s="21">
        <f t="shared" si="30"/>
        <v>318.7656355</v>
      </c>
      <c r="P36" s="22">
        <v>140.0</v>
      </c>
      <c r="Q36" s="22">
        <v>65.0</v>
      </c>
      <c r="R36" s="24">
        <v>115.0</v>
      </c>
      <c r="S36" s="23">
        <v>105.0</v>
      </c>
      <c r="T36" s="25">
        <f t="shared" si="31"/>
        <v>35</v>
      </c>
      <c r="U36" s="25">
        <f t="shared" si="32"/>
        <v>50</v>
      </c>
      <c r="V36" s="25">
        <f t="shared" si="33"/>
        <v>42.05509878</v>
      </c>
      <c r="W36" s="25">
        <f t="shared" si="34"/>
        <v>7.579714345</v>
      </c>
      <c r="X36" s="27">
        <f t="shared" si="36"/>
        <v>2.425148004</v>
      </c>
    </row>
    <row r="37">
      <c r="B37" s="14" t="s">
        <v>54</v>
      </c>
      <c r="C37" s="21">
        <f t="shared" si="25"/>
        <v>318.7656355</v>
      </c>
      <c r="D37" s="22">
        <v>140.0</v>
      </c>
      <c r="E37" s="23">
        <v>65.0</v>
      </c>
      <c r="F37" s="24">
        <v>110.0</v>
      </c>
      <c r="G37" s="22">
        <v>105.0</v>
      </c>
      <c r="H37" s="25">
        <f t="shared" si="26"/>
        <v>35</v>
      </c>
      <c r="I37" s="25">
        <f t="shared" si="27"/>
        <v>45</v>
      </c>
      <c r="J37" s="25">
        <f t="shared" si="28"/>
        <v>39.79079143</v>
      </c>
      <c r="K37" s="25">
        <f t="shared" si="29"/>
        <v>8.011040345</v>
      </c>
      <c r="L37" s="27">
        <f t="shared" si="35"/>
        <v>2.563151805</v>
      </c>
      <c r="N37" s="14" t="s">
        <v>54</v>
      </c>
      <c r="O37" s="21">
        <f t="shared" si="30"/>
        <v>318.7656355</v>
      </c>
      <c r="P37" s="22">
        <v>140.0</v>
      </c>
      <c r="Q37" s="22">
        <v>65.0</v>
      </c>
      <c r="R37" s="24">
        <v>110.0</v>
      </c>
      <c r="S37" s="23">
        <v>105.0</v>
      </c>
      <c r="T37" s="25">
        <f t="shared" si="31"/>
        <v>35</v>
      </c>
      <c r="U37" s="25">
        <f t="shared" si="32"/>
        <v>45</v>
      </c>
      <c r="V37" s="25">
        <f t="shared" si="33"/>
        <v>39.79079143</v>
      </c>
      <c r="W37" s="25">
        <f t="shared" si="34"/>
        <v>8.011040345</v>
      </c>
      <c r="X37" s="27">
        <f t="shared" si="36"/>
        <v>2.563151805</v>
      </c>
    </row>
    <row r="38">
      <c r="B38" s="14" t="s">
        <v>55</v>
      </c>
      <c r="C38" s="21">
        <f t="shared" si="25"/>
        <v>318.7656355</v>
      </c>
      <c r="D38" s="22">
        <v>140.0</v>
      </c>
      <c r="E38" s="23">
        <v>65.0</v>
      </c>
      <c r="F38" s="24">
        <v>105.0</v>
      </c>
      <c r="G38" s="22">
        <v>105.0</v>
      </c>
      <c r="H38" s="25">
        <f t="shared" si="26"/>
        <v>35</v>
      </c>
      <c r="I38" s="25">
        <f t="shared" si="27"/>
        <v>40</v>
      </c>
      <c r="J38" s="25">
        <f t="shared" si="28"/>
        <v>37.44437845</v>
      </c>
      <c r="K38" s="25">
        <f t="shared" si="29"/>
        <v>8.513043847</v>
      </c>
      <c r="L38" s="27">
        <f t="shared" si="35"/>
        <v>2.723769044</v>
      </c>
      <c r="N38" s="14" t="s">
        <v>55</v>
      </c>
      <c r="O38" s="21">
        <f t="shared" si="30"/>
        <v>318.7656355</v>
      </c>
      <c r="P38" s="22">
        <v>140.0</v>
      </c>
      <c r="Q38" s="22">
        <v>65.0</v>
      </c>
      <c r="R38" s="24">
        <v>105.0</v>
      </c>
      <c r="S38" s="23">
        <v>105.0</v>
      </c>
      <c r="T38" s="25">
        <f t="shared" si="31"/>
        <v>35</v>
      </c>
      <c r="U38" s="25">
        <f t="shared" si="32"/>
        <v>40</v>
      </c>
      <c r="V38" s="25">
        <f t="shared" si="33"/>
        <v>37.44437845</v>
      </c>
      <c r="W38" s="25">
        <f t="shared" si="34"/>
        <v>8.513043847</v>
      </c>
      <c r="X38" s="27">
        <f t="shared" si="36"/>
        <v>2.723769044</v>
      </c>
    </row>
    <row r="39">
      <c r="B39" s="14" t="s">
        <v>56</v>
      </c>
      <c r="C39" s="21">
        <f t="shared" si="25"/>
        <v>318.7656355</v>
      </c>
      <c r="D39" s="22">
        <v>140.0</v>
      </c>
      <c r="E39" s="23">
        <v>65.0</v>
      </c>
      <c r="F39" s="24">
        <v>95.0</v>
      </c>
      <c r="G39" s="22">
        <v>105.0</v>
      </c>
      <c r="H39" s="25">
        <f t="shared" si="26"/>
        <v>35</v>
      </c>
      <c r="I39" s="25">
        <f t="shared" si="27"/>
        <v>30</v>
      </c>
      <c r="J39" s="25">
        <f t="shared" si="28"/>
        <v>32.43579597</v>
      </c>
      <c r="K39" s="25">
        <f t="shared" si="29"/>
        <v>9.827587884</v>
      </c>
      <c r="L39" s="27">
        <f t="shared" si="35"/>
        <v>3.1443606</v>
      </c>
      <c r="N39" s="14" t="s">
        <v>56</v>
      </c>
      <c r="O39" s="21">
        <f t="shared" si="30"/>
        <v>318.7656355</v>
      </c>
      <c r="P39" s="22">
        <v>140.0</v>
      </c>
      <c r="Q39" s="22">
        <v>65.0</v>
      </c>
      <c r="R39" s="24">
        <v>95.0</v>
      </c>
      <c r="S39" s="23">
        <v>105.0</v>
      </c>
      <c r="T39" s="25">
        <f t="shared" si="31"/>
        <v>35</v>
      </c>
      <c r="U39" s="25">
        <f t="shared" si="32"/>
        <v>30</v>
      </c>
      <c r="V39" s="25">
        <f t="shared" si="33"/>
        <v>32.43579597</v>
      </c>
      <c r="W39" s="25">
        <f t="shared" si="34"/>
        <v>9.827587884</v>
      </c>
      <c r="X39" s="27">
        <f t="shared" si="36"/>
        <v>3.1443606</v>
      </c>
    </row>
    <row r="40">
      <c r="B40" s="14" t="s">
        <v>57</v>
      </c>
      <c r="C40" s="21">
        <f t="shared" si="25"/>
        <v>318.7656355</v>
      </c>
      <c r="D40" s="22">
        <v>140.0</v>
      </c>
      <c r="E40" s="23">
        <v>65.0</v>
      </c>
      <c r="F40" s="24">
        <v>90.0</v>
      </c>
      <c r="G40" s="22">
        <v>105.0</v>
      </c>
      <c r="H40" s="25">
        <f t="shared" si="26"/>
        <v>35</v>
      </c>
      <c r="I40" s="25">
        <f t="shared" si="27"/>
        <v>25</v>
      </c>
      <c r="J40" s="25">
        <f t="shared" si="28"/>
        <v>29.72013412</v>
      </c>
      <c r="K40" s="25">
        <f t="shared" si="29"/>
        <v>10.72557863</v>
      </c>
      <c r="L40" s="27">
        <f t="shared" si="35"/>
        <v>3.43167492</v>
      </c>
      <c r="N40" s="14" t="s">
        <v>57</v>
      </c>
      <c r="O40" s="21">
        <f t="shared" si="30"/>
        <v>318.7656355</v>
      </c>
      <c r="P40" s="22">
        <v>140.0</v>
      </c>
      <c r="Q40" s="22">
        <v>65.0</v>
      </c>
      <c r="R40" s="24">
        <v>90.0</v>
      </c>
      <c r="S40" s="23">
        <v>105.0</v>
      </c>
      <c r="T40" s="25">
        <f t="shared" si="31"/>
        <v>35</v>
      </c>
      <c r="U40" s="25">
        <f t="shared" si="32"/>
        <v>25</v>
      </c>
      <c r="V40" s="25">
        <f t="shared" si="33"/>
        <v>29.72013412</v>
      </c>
      <c r="W40" s="25">
        <f t="shared" si="34"/>
        <v>10.72557863</v>
      </c>
      <c r="X40" s="27">
        <f t="shared" si="36"/>
        <v>3.43167492</v>
      </c>
    </row>
    <row r="41">
      <c r="L41" s="9"/>
      <c r="X41" s="9"/>
    </row>
    <row r="42">
      <c r="L42" s="9"/>
      <c r="X42" s="9"/>
    </row>
    <row r="43">
      <c r="B43" s="14" t="s">
        <v>38</v>
      </c>
      <c r="C43" s="14" t="s">
        <v>36</v>
      </c>
      <c r="D43" s="14" t="s">
        <v>39</v>
      </c>
      <c r="E43" s="14" t="s">
        <v>40</v>
      </c>
      <c r="F43" s="14" t="s">
        <v>41</v>
      </c>
      <c r="G43" s="14" t="s">
        <v>42</v>
      </c>
      <c r="H43" s="14" t="s">
        <v>43</v>
      </c>
      <c r="I43" s="14" t="s">
        <v>44</v>
      </c>
      <c r="J43" s="14" t="s">
        <v>45</v>
      </c>
      <c r="K43" s="14" t="s">
        <v>46</v>
      </c>
      <c r="L43" s="20" t="s">
        <v>47</v>
      </c>
      <c r="N43" s="14" t="s">
        <v>48</v>
      </c>
      <c r="O43" s="14" t="s">
        <v>36</v>
      </c>
      <c r="P43" s="14" t="s">
        <v>39</v>
      </c>
      <c r="Q43" s="14" t="s">
        <v>40</v>
      </c>
      <c r="R43" s="14" t="s">
        <v>41</v>
      </c>
      <c r="S43" s="14" t="s">
        <v>42</v>
      </c>
      <c r="T43" s="14" t="s">
        <v>43</v>
      </c>
      <c r="U43" s="14" t="s">
        <v>44</v>
      </c>
      <c r="V43" s="14" t="s">
        <v>45</v>
      </c>
      <c r="W43" s="14" t="s">
        <v>46</v>
      </c>
      <c r="X43" s="20" t="s">
        <v>47</v>
      </c>
    </row>
    <row r="44">
      <c r="B44" s="14" t="s">
        <v>49</v>
      </c>
      <c r="C44" s="21">
        <f t="shared" ref="C44:C52" si="37">$C$5</f>
        <v>318.7656355</v>
      </c>
      <c r="D44" s="22">
        <v>195.0</v>
      </c>
      <c r="E44" s="23">
        <v>70.0</v>
      </c>
      <c r="F44" s="24">
        <v>170.0</v>
      </c>
      <c r="G44" s="22">
        <v>105.0</v>
      </c>
      <c r="H44" s="25">
        <f t="shared" ref="H44:H52" si="38">D44-G44</f>
        <v>90</v>
      </c>
      <c r="I44" s="25">
        <f t="shared" ref="I44:I52" si="39">F44-E44</f>
        <v>100</v>
      </c>
      <c r="J44" s="25">
        <f t="shared" ref="J44:J52" si="40">(H44-I44)/(LN(H44/I44))</f>
        <v>94.91221581</v>
      </c>
      <c r="K44" s="25">
        <f t="shared" ref="K44:K52" si="41">C44/J44</f>
        <v>3.358531173</v>
      </c>
      <c r="L44" s="26"/>
      <c r="N44" s="14" t="s">
        <v>49</v>
      </c>
      <c r="O44" s="21">
        <f t="shared" ref="O44:O52" si="42">$C$5</f>
        <v>318.7656355</v>
      </c>
      <c r="P44" s="22">
        <v>195.0</v>
      </c>
      <c r="Q44" s="22">
        <v>65.0</v>
      </c>
      <c r="R44" s="24">
        <v>170.0</v>
      </c>
      <c r="S44" s="23">
        <v>110.0</v>
      </c>
      <c r="T44" s="25">
        <f t="shared" ref="T44:T52" si="43">P44-S44</f>
        <v>85</v>
      </c>
      <c r="U44" s="25">
        <f t="shared" ref="U44:U52" si="44">R44-Q44</f>
        <v>105</v>
      </c>
      <c r="V44" s="25">
        <f t="shared" ref="V44:V52" si="45">(T44-U44)/(LN(T44/U44))</f>
        <v>94.64807999</v>
      </c>
      <c r="W44" s="25">
        <f t="shared" ref="W44:W52" si="46">O44/V44</f>
        <v>3.367903877</v>
      </c>
      <c r="X44" s="26"/>
    </row>
    <row r="45">
      <c r="B45" s="14" t="s">
        <v>50</v>
      </c>
      <c r="C45" s="21">
        <f t="shared" si="37"/>
        <v>318.7656355</v>
      </c>
      <c r="D45" s="22">
        <v>140.0</v>
      </c>
      <c r="E45" s="23">
        <v>70.0</v>
      </c>
      <c r="F45" s="24">
        <v>130.0</v>
      </c>
      <c r="G45" s="22">
        <v>105.0</v>
      </c>
      <c r="H45" s="25">
        <f t="shared" si="38"/>
        <v>35</v>
      </c>
      <c r="I45" s="25">
        <f t="shared" si="39"/>
        <v>60</v>
      </c>
      <c r="J45" s="25">
        <f t="shared" si="40"/>
        <v>46.38249036</v>
      </c>
      <c r="K45" s="25">
        <f t="shared" si="41"/>
        <v>6.872542484</v>
      </c>
      <c r="L45" s="27">
        <f t="shared" ref="L45:L52" si="47">K45/$K$8</f>
        <v>2.198886651</v>
      </c>
      <c r="N45" s="14" t="s">
        <v>50</v>
      </c>
      <c r="O45" s="21">
        <f t="shared" si="42"/>
        <v>318.7656355</v>
      </c>
      <c r="P45" s="22">
        <v>140.0</v>
      </c>
      <c r="Q45" s="22">
        <v>65.0</v>
      </c>
      <c r="R45" s="24">
        <v>130.0</v>
      </c>
      <c r="S45" s="23">
        <v>110.0</v>
      </c>
      <c r="T45" s="25">
        <f t="shared" si="43"/>
        <v>30</v>
      </c>
      <c r="U45" s="25">
        <f t="shared" si="44"/>
        <v>65</v>
      </c>
      <c r="V45" s="25">
        <f t="shared" si="45"/>
        <v>45.26701724</v>
      </c>
      <c r="W45" s="25">
        <f t="shared" si="46"/>
        <v>7.041896174</v>
      </c>
      <c r="X45" s="27">
        <f t="shared" ref="X45:X52" si="48">W45/$K$8</f>
        <v>2.253071775</v>
      </c>
    </row>
    <row r="46">
      <c r="B46" s="14" t="s">
        <v>51</v>
      </c>
      <c r="C46" s="21">
        <f t="shared" si="37"/>
        <v>318.7656355</v>
      </c>
      <c r="D46" s="22">
        <v>140.0</v>
      </c>
      <c r="E46" s="23">
        <v>70.0</v>
      </c>
      <c r="F46" s="24">
        <v>125.0</v>
      </c>
      <c r="G46" s="22">
        <v>105.0</v>
      </c>
      <c r="H46" s="25">
        <f t="shared" si="38"/>
        <v>35</v>
      </c>
      <c r="I46" s="25">
        <f t="shared" si="39"/>
        <v>55</v>
      </c>
      <c r="J46" s="25">
        <f t="shared" si="40"/>
        <v>44.24924394</v>
      </c>
      <c r="K46" s="25">
        <f t="shared" si="41"/>
        <v>7.203866261</v>
      </c>
      <c r="L46" s="27">
        <f t="shared" si="47"/>
        <v>2.304894497</v>
      </c>
      <c r="N46" s="14" t="s">
        <v>51</v>
      </c>
      <c r="O46" s="21">
        <f t="shared" si="42"/>
        <v>318.7656355</v>
      </c>
      <c r="P46" s="22">
        <v>140.0</v>
      </c>
      <c r="Q46" s="22">
        <v>65.0</v>
      </c>
      <c r="R46" s="24">
        <v>125.0</v>
      </c>
      <c r="S46" s="23">
        <v>110.0</v>
      </c>
      <c r="T46" s="25">
        <f t="shared" si="43"/>
        <v>30</v>
      </c>
      <c r="U46" s="25">
        <f t="shared" si="44"/>
        <v>60</v>
      </c>
      <c r="V46" s="25">
        <f t="shared" si="45"/>
        <v>43.28085123</v>
      </c>
      <c r="W46" s="25">
        <f t="shared" si="46"/>
        <v>7.365050051</v>
      </c>
      <c r="X46" s="27">
        <f t="shared" si="48"/>
        <v>2.356465642</v>
      </c>
    </row>
    <row r="47">
      <c r="B47" s="14" t="s">
        <v>52</v>
      </c>
      <c r="C47" s="21">
        <f t="shared" si="37"/>
        <v>318.7656355</v>
      </c>
      <c r="D47" s="22">
        <v>140.0</v>
      </c>
      <c r="E47" s="23">
        <v>70.0</v>
      </c>
      <c r="F47" s="24">
        <v>120.0</v>
      </c>
      <c r="G47" s="22">
        <v>105.0</v>
      </c>
      <c r="H47" s="25">
        <f t="shared" si="38"/>
        <v>35</v>
      </c>
      <c r="I47" s="25">
        <f t="shared" si="39"/>
        <v>50</v>
      </c>
      <c r="J47" s="25">
        <f t="shared" si="40"/>
        <v>42.05509878</v>
      </c>
      <c r="K47" s="25">
        <f t="shared" si="41"/>
        <v>7.579714345</v>
      </c>
      <c r="L47" s="27">
        <f t="shared" si="47"/>
        <v>2.425148004</v>
      </c>
      <c r="N47" s="14" t="s">
        <v>52</v>
      </c>
      <c r="O47" s="21">
        <f t="shared" si="42"/>
        <v>318.7656355</v>
      </c>
      <c r="P47" s="22">
        <v>140.0</v>
      </c>
      <c r="Q47" s="22">
        <v>65.0</v>
      </c>
      <c r="R47" s="24">
        <v>120.0</v>
      </c>
      <c r="S47" s="23">
        <v>110.0</v>
      </c>
      <c r="T47" s="25">
        <f t="shared" si="43"/>
        <v>30</v>
      </c>
      <c r="U47" s="25">
        <f t="shared" si="44"/>
        <v>55</v>
      </c>
      <c r="V47" s="25">
        <f t="shared" si="45"/>
        <v>41.2448825</v>
      </c>
      <c r="W47" s="25">
        <f t="shared" si="46"/>
        <v>7.728610586</v>
      </c>
      <c r="X47" s="27">
        <f t="shared" si="48"/>
        <v>2.472787718</v>
      </c>
    </row>
    <row r="48">
      <c r="B48" s="14" t="s">
        <v>53</v>
      </c>
      <c r="C48" s="21">
        <f t="shared" si="37"/>
        <v>318.7656355</v>
      </c>
      <c r="D48" s="22">
        <v>140.0</v>
      </c>
      <c r="E48" s="23">
        <v>70.0</v>
      </c>
      <c r="F48" s="24">
        <v>115.0</v>
      </c>
      <c r="G48" s="22">
        <v>105.0</v>
      </c>
      <c r="H48" s="25">
        <f t="shared" si="38"/>
        <v>35</v>
      </c>
      <c r="I48" s="25">
        <f t="shared" si="39"/>
        <v>45</v>
      </c>
      <c r="J48" s="25">
        <f t="shared" si="40"/>
        <v>39.79079143</v>
      </c>
      <c r="K48" s="25">
        <f t="shared" si="41"/>
        <v>8.011040345</v>
      </c>
      <c r="L48" s="27">
        <f t="shared" si="47"/>
        <v>2.563151805</v>
      </c>
      <c r="N48" s="14" t="s">
        <v>53</v>
      </c>
      <c r="O48" s="21">
        <f t="shared" si="42"/>
        <v>318.7656355</v>
      </c>
      <c r="P48" s="22">
        <v>140.0</v>
      </c>
      <c r="Q48" s="22">
        <v>65.0</v>
      </c>
      <c r="R48" s="24">
        <v>115.0</v>
      </c>
      <c r="S48" s="23">
        <v>110.0</v>
      </c>
      <c r="T48" s="25">
        <f t="shared" si="43"/>
        <v>30</v>
      </c>
      <c r="U48" s="25">
        <f t="shared" si="44"/>
        <v>50</v>
      </c>
      <c r="V48" s="25">
        <f t="shared" si="45"/>
        <v>39.15230378</v>
      </c>
      <c r="W48" s="25">
        <f t="shared" si="46"/>
        <v>8.14168273</v>
      </c>
      <c r="X48" s="27">
        <f t="shared" si="48"/>
        <v>2.604951153</v>
      </c>
    </row>
    <row r="49">
      <c r="B49" s="14" t="s">
        <v>54</v>
      </c>
      <c r="C49" s="21">
        <f t="shared" si="37"/>
        <v>318.7656355</v>
      </c>
      <c r="D49" s="22">
        <v>140.0</v>
      </c>
      <c r="E49" s="23">
        <v>70.0</v>
      </c>
      <c r="F49" s="24">
        <v>110.0</v>
      </c>
      <c r="G49" s="22">
        <v>105.0</v>
      </c>
      <c r="H49" s="25">
        <f t="shared" si="38"/>
        <v>35</v>
      </c>
      <c r="I49" s="25">
        <f t="shared" si="39"/>
        <v>40</v>
      </c>
      <c r="J49" s="25">
        <f t="shared" si="40"/>
        <v>37.44437845</v>
      </c>
      <c r="K49" s="25">
        <f t="shared" si="41"/>
        <v>8.513043847</v>
      </c>
      <c r="L49" s="27">
        <f t="shared" si="47"/>
        <v>2.723769044</v>
      </c>
      <c r="N49" s="14" t="s">
        <v>54</v>
      </c>
      <c r="O49" s="21">
        <f t="shared" si="42"/>
        <v>318.7656355</v>
      </c>
      <c r="P49" s="22">
        <v>140.0</v>
      </c>
      <c r="Q49" s="22">
        <v>65.0</v>
      </c>
      <c r="R49" s="24">
        <v>110.0</v>
      </c>
      <c r="S49" s="23">
        <v>110.0</v>
      </c>
      <c r="T49" s="25">
        <f t="shared" si="43"/>
        <v>30</v>
      </c>
      <c r="U49" s="25">
        <f t="shared" si="44"/>
        <v>45</v>
      </c>
      <c r="V49" s="25">
        <f t="shared" si="45"/>
        <v>36.99455194</v>
      </c>
      <c r="W49" s="25">
        <f t="shared" si="46"/>
        <v>8.616556191</v>
      </c>
      <c r="X49" s="27">
        <f t="shared" si="48"/>
        <v>2.75688807</v>
      </c>
    </row>
    <row r="50">
      <c r="B50" s="14" t="s">
        <v>55</v>
      </c>
      <c r="C50" s="21">
        <f t="shared" si="37"/>
        <v>318.7656355</v>
      </c>
      <c r="D50" s="22">
        <v>140.0</v>
      </c>
      <c r="E50" s="23">
        <v>70.0</v>
      </c>
      <c r="F50" s="24">
        <v>105.0</v>
      </c>
      <c r="G50" s="22">
        <v>105.0</v>
      </c>
      <c r="H50" s="25">
        <f t="shared" si="38"/>
        <v>35</v>
      </c>
      <c r="I50" s="25">
        <f t="shared" si="39"/>
        <v>35</v>
      </c>
      <c r="J50" s="25" t="str">
        <f t="shared" si="40"/>
        <v>#DIV/0!</v>
      </c>
      <c r="K50" s="25" t="str">
        <f t="shared" si="41"/>
        <v>#DIV/0!</v>
      </c>
      <c r="L50" s="27" t="str">
        <f t="shared" si="47"/>
        <v>#DIV/0!</v>
      </c>
      <c r="N50" s="14" t="s">
        <v>55</v>
      </c>
      <c r="O50" s="21">
        <f t="shared" si="42"/>
        <v>318.7656355</v>
      </c>
      <c r="P50" s="22">
        <v>140.0</v>
      </c>
      <c r="Q50" s="22">
        <v>65.0</v>
      </c>
      <c r="R50" s="24">
        <v>105.0</v>
      </c>
      <c r="S50" s="23">
        <v>110.0</v>
      </c>
      <c r="T50" s="25">
        <f t="shared" si="43"/>
        <v>30</v>
      </c>
      <c r="U50" s="25">
        <f t="shared" si="44"/>
        <v>40</v>
      </c>
      <c r="V50" s="25">
        <f t="shared" si="45"/>
        <v>34.76059497</v>
      </c>
      <c r="W50" s="25">
        <f t="shared" si="46"/>
        <v>9.170315866</v>
      </c>
      <c r="X50" s="27">
        <f t="shared" si="48"/>
        <v>2.934064822</v>
      </c>
    </row>
    <row r="51">
      <c r="B51" s="14" t="s">
        <v>56</v>
      </c>
      <c r="C51" s="21">
        <f t="shared" si="37"/>
        <v>318.7656355</v>
      </c>
      <c r="D51" s="22">
        <v>140.0</v>
      </c>
      <c r="E51" s="23">
        <v>70.0</v>
      </c>
      <c r="F51" s="24">
        <v>95.0</v>
      </c>
      <c r="G51" s="22">
        <v>105.0</v>
      </c>
      <c r="H51" s="25">
        <f t="shared" si="38"/>
        <v>35</v>
      </c>
      <c r="I51" s="25">
        <f t="shared" si="39"/>
        <v>25</v>
      </c>
      <c r="J51" s="25">
        <f t="shared" si="40"/>
        <v>29.72013412</v>
      </c>
      <c r="K51" s="25">
        <f t="shared" si="41"/>
        <v>10.72557863</v>
      </c>
      <c r="L51" s="27">
        <f t="shared" si="47"/>
        <v>3.43167492</v>
      </c>
      <c r="N51" s="14" t="s">
        <v>56</v>
      </c>
      <c r="O51" s="21">
        <f t="shared" si="42"/>
        <v>318.7656355</v>
      </c>
      <c r="P51" s="22">
        <v>140.0</v>
      </c>
      <c r="Q51" s="22">
        <v>65.0</v>
      </c>
      <c r="R51" s="24">
        <v>95.0</v>
      </c>
      <c r="S51" s="23">
        <v>110.0</v>
      </c>
      <c r="T51" s="25">
        <f t="shared" si="43"/>
        <v>30</v>
      </c>
      <c r="U51" s="25">
        <f t="shared" si="44"/>
        <v>30</v>
      </c>
      <c r="V51" s="25" t="str">
        <f t="shared" si="45"/>
        <v>#DIV/0!</v>
      </c>
      <c r="W51" s="25" t="str">
        <f t="shared" si="46"/>
        <v>#DIV/0!</v>
      </c>
      <c r="X51" s="27" t="str">
        <f t="shared" si="48"/>
        <v>#DIV/0!</v>
      </c>
    </row>
    <row r="52">
      <c r="B52" s="14" t="s">
        <v>57</v>
      </c>
      <c r="C52" s="21">
        <f t="shared" si="37"/>
        <v>318.7656355</v>
      </c>
      <c r="D52" s="22">
        <v>140.0</v>
      </c>
      <c r="E52" s="23">
        <v>70.0</v>
      </c>
      <c r="F52" s="24">
        <v>90.0</v>
      </c>
      <c r="G52" s="22">
        <v>105.0</v>
      </c>
      <c r="H52" s="25">
        <f t="shared" si="38"/>
        <v>35</v>
      </c>
      <c r="I52" s="25">
        <f t="shared" si="39"/>
        <v>20</v>
      </c>
      <c r="J52" s="25">
        <f t="shared" si="40"/>
        <v>26.80410439</v>
      </c>
      <c r="K52" s="25">
        <f t="shared" si="41"/>
        <v>11.89241882</v>
      </c>
      <c r="L52" s="27">
        <f t="shared" si="47"/>
        <v>3.80500827</v>
      </c>
      <c r="N52" s="14" t="s">
        <v>57</v>
      </c>
      <c r="O52" s="21">
        <f t="shared" si="42"/>
        <v>318.7656355</v>
      </c>
      <c r="P52" s="22">
        <v>140.0</v>
      </c>
      <c r="Q52" s="22">
        <v>65.0</v>
      </c>
      <c r="R52" s="24">
        <v>90.0</v>
      </c>
      <c r="S52" s="23">
        <v>110.0</v>
      </c>
      <c r="T52" s="25">
        <f t="shared" si="43"/>
        <v>30</v>
      </c>
      <c r="U52" s="25">
        <f t="shared" si="44"/>
        <v>25</v>
      </c>
      <c r="V52" s="25">
        <f t="shared" si="45"/>
        <v>27.42407474</v>
      </c>
      <c r="W52" s="25">
        <f t="shared" si="46"/>
        <v>11.62356938</v>
      </c>
      <c r="X52" s="27">
        <f t="shared" si="48"/>
        <v>3.71898924</v>
      </c>
    </row>
    <row r="53">
      <c r="L53" s="9"/>
      <c r="X53" s="9"/>
    </row>
    <row r="54">
      <c r="L54" s="9"/>
      <c r="X54" s="9"/>
    </row>
    <row r="55">
      <c r="L55" s="9"/>
      <c r="X55" s="9"/>
    </row>
    <row r="56">
      <c r="L56" s="9"/>
      <c r="X56" s="9"/>
    </row>
    <row r="57">
      <c r="L57" s="9"/>
      <c r="X57" s="9"/>
    </row>
    <row r="58">
      <c r="L58" s="9"/>
      <c r="X58" s="9"/>
    </row>
    <row r="59">
      <c r="L59" s="9"/>
      <c r="X59" s="9"/>
    </row>
    <row r="60">
      <c r="L60" s="9"/>
      <c r="X60" s="9"/>
    </row>
    <row r="61">
      <c r="L61" s="9"/>
      <c r="X61" s="9"/>
    </row>
    <row r="62">
      <c r="L62" s="9"/>
      <c r="X62" s="9"/>
    </row>
    <row r="63">
      <c r="L63" s="9"/>
      <c r="X63" s="9"/>
    </row>
    <row r="64">
      <c r="L64" s="9"/>
      <c r="X64" s="9"/>
    </row>
    <row r="65">
      <c r="L65" s="9"/>
      <c r="X65" s="9"/>
    </row>
    <row r="66">
      <c r="L66" s="9"/>
      <c r="X66" s="9"/>
    </row>
    <row r="67">
      <c r="L67" s="9"/>
      <c r="X67" s="9"/>
    </row>
    <row r="68">
      <c r="L68" s="9"/>
      <c r="X68" s="9"/>
    </row>
    <row r="69">
      <c r="L69" s="9"/>
      <c r="X69" s="9"/>
    </row>
    <row r="70">
      <c r="L70" s="9"/>
      <c r="X70" s="9"/>
    </row>
    <row r="71">
      <c r="L71" s="9"/>
      <c r="X71" s="9"/>
    </row>
    <row r="72">
      <c r="L72" s="9"/>
      <c r="X72" s="9"/>
    </row>
    <row r="73">
      <c r="L73" s="9"/>
      <c r="X73" s="9"/>
    </row>
    <row r="74">
      <c r="L74" s="9"/>
      <c r="X74" s="9"/>
    </row>
    <row r="75">
      <c r="L75" s="9"/>
      <c r="X75" s="9"/>
    </row>
    <row r="76">
      <c r="L76" s="9"/>
      <c r="X76" s="9"/>
    </row>
    <row r="77">
      <c r="L77" s="9"/>
      <c r="X77" s="9"/>
    </row>
    <row r="78">
      <c r="L78" s="9"/>
      <c r="X78" s="9"/>
    </row>
    <row r="79">
      <c r="L79" s="9"/>
      <c r="X79" s="9"/>
    </row>
    <row r="80">
      <c r="L80" s="9"/>
      <c r="X80" s="9"/>
    </row>
    <row r="81">
      <c r="L81" s="9"/>
      <c r="X81" s="9"/>
    </row>
    <row r="82">
      <c r="L82" s="9"/>
      <c r="X82" s="9"/>
    </row>
    <row r="83">
      <c r="L83" s="9"/>
      <c r="X83" s="9"/>
    </row>
    <row r="84">
      <c r="L84" s="9"/>
      <c r="X84" s="9"/>
    </row>
    <row r="85">
      <c r="L85" s="9"/>
      <c r="X85" s="9"/>
    </row>
    <row r="86">
      <c r="L86" s="9"/>
      <c r="X86" s="9"/>
    </row>
    <row r="87">
      <c r="L87" s="9"/>
      <c r="X87" s="9"/>
    </row>
    <row r="88">
      <c r="L88" s="9"/>
      <c r="X88" s="9"/>
    </row>
    <row r="89">
      <c r="L89" s="9"/>
      <c r="X89" s="9"/>
    </row>
    <row r="90">
      <c r="L90" s="9"/>
      <c r="X90" s="9"/>
    </row>
    <row r="91">
      <c r="L91" s="9"/>
      <c r="X91" s="9"/>
    </row>
    <row r="92">
      <c r="L92" s="9"/>
      <c r="X92" s="9"/>
    </row>
    <row r="93">
      <c r="L93" s="9"/>
      <c r="X93" s="9"/>
    </row>
    <row r="94">
      <c r="L94" s="9"/>
      <c r="X94" s="9"/>
    </row>
    <row r="95">
      <c r="L95" s="9"/>
      <c r="X95" s="9"/>
    </row>
    <row r="96">
      <c r="L96" s="9"/>
      <c r="X96" s="9"/>
    </row>
    <row r="97">
      <c r="L97" s="9"/>
      <c r="X97" s="9"/>
    </row>
    <row r="98">
      <c r="L98" s="9"/>
      <c r="X98" s="9"/>
    </row>
    <row r="99">
      <c r="L99" s="9"/>
      <c r="X99" s="9"/>
    </row>
    <row r="100">
      <c r="L100" s="9"/>
      <c r="X100" s="9"/>
    </row>
    <row r="101">
      <c r="L101" s="9"/>
      <c r="X101" s="9"/>
    </row>
    <row r="102">
      <c r="L102" s="9"/>
      <c r="X102" s="9"/>
    </row>
    <row r="103">
      <c r="L103" s="9"/>
      <c r="X103" s="9"/>
    </row>
    <row r="104">
      <c r="L104" s="9"/>
      <c r="X104" s="9"/>
    </row>
    <row r="105">
      <c r="L105" s="9"/>
      <c r="X105" s="9"/>
    </row>
    <row r="106">
      <c r="L106" s="9"/>
      <c r="X106" s="9"/>
    </row>
    <row r="107">
      <c r="L107" s="9"/>
      <c r="X107" s="9"/>
    </row>
    <row r="108">
      <c r="L108" s="9"/>
      <c r="X108" s="9"/>
    </row>
    <row r="109">
      <c r="L109" s="9"/>
      <c r="X109" s="9"/>
    </row>
    <row r="110">
      <c r="L110" s="9"/>
      <c r="X110" s="9"/>
    </row>
    <row r="111">
      <c r="L111" s="9"/>
      <c r="X111" s="9"/>
    </row>
    <row r="112">
      <c r="L112" s="9"/>
      <c r="X112" s="9"/>
    </row>
    <row r="113">
      <c r="L113" s="9"/>
      <c r="X113" s="9"/>
    </row>
    <row r="114">
      <c r="L114" s="9"/>
      <c r="X114" s="9"/>
    </row>
    <row r="115">
      <c r="L115" s="9"/>
      <c r="X115" s="9"/>
    </row>
    <row r="116">
      <c r="L116" s="9"/>
      <c r="X116" s="9"/>
    </row>
    <row r="117">
      <c r="L117" s="9"/>
      <c r="X117" s="9"/>
    </row>
    <row r="118">
      <c r="L118" s="9"/>
      <c r="X118" s="9"/>
    </row>
    <row r="119">
      <c r="L119" s="9"/>
      <c r="X119" s="9"/>
    </row>
    <row r="120">
      <c r="L120" s="9"/>
      <c r="X120" s="9"/>
    </row>
    <row r="121">
      <c r="L121" s="9"/>
      <c r="X121" s="9"/>
    </row>
    <row r="122">
      <c r="L122" s="9"/>
      <c r="X122" s="9"/>
    </row>
    <row r="123">
      <c r="L123" s="9"/>
      <c r="X123" s="9"/>
    </row>
    <row r="124">
      <c r="L124" s="9"/>
      <c r="X124" s="9"/>
    </row>
    <row r="125">
      <c r="L125" s="9"/>
      <c r="X125" s="9"/>
    </row>
    <row r="126">
      <c r="L126" s="9"/>
      <c r="X126" s="9"/>
    </row>
    <row r="127">
      <c r="L127" s="9"/>
      <c r="X127" s="9"/>
    </row>
    <row r="128">
      <c r="L128" s="9"/>
      <c r="X128" s="9"/>
    </row>
    <row r="129">
      <c r="L129" s="9"/>
      <c r="X129" s="9"/>
    </row>
    <row r="130">
      <c r="L130" s="9"/>
      <c r="X130" s="9"/>
    </row>
    <row r="131">
      <c r="L131" s="9"/>
      <c r="X131" s="9"/>
    </row>
    <row r="132">
      <c r="L132" s="9"/>
      <c r="X132" s="9"/>
    </row>
    <row r="133">
      <c r="L133" s="9"/>
      <c r="X133" s="9"/>
    </row>
    <row r="134">
      <c r="L134" s="9"/>
      <c r="X134" s="9"/>
    </row>
    <row r="135">
      <c r="L135" s="9"/>
      <c r="X135" s="9"/>
    </row>
    <row r="136">
      <c r="L136" s="9"/>
      <c r="X136" s="9"/>
    </row>
    <row r="137">
      <c r="L137" s="9"/>
      <c r="X137" s="9"/>
    </row>
    <row r="138">
      <c r="L138" s="9"/>
      <c r="X138" s="9"/>
    </row>
    <row r="139">
      <c r="L139" s="9"/>
      <c r="X139" s="9"/>
    </row>
    <row r="140">
      <c r="L140" s="9"/>
      <c r="X140" s="9"/>
    </row>
    <row r="141">
      <c r="L141" s="9"/>
      <c r="X141" s="9"/>
    </row>
    <row r="142">
      <c r="L142" s="9"/>
      <c r="X142" s="9"/>
    </row>
    <row r="143">
      <c r="L143" s="9"/>
      <c r="X143" s="9"/>
    </row>
    <row r="144">
      <c r="L144" s="9"/>
      <c r="X144" s="9"/>
    </row>
    <row r="145">
      <c r="L145" s="9"/>
      <c r="X145" s="9"/>
    </row>
    <row r="146">
      <c r="L146" s="9"/>
      <c r="X146" s="9"/>
    </row>
    <row r="147">
      <c r="L147" s="9"/>
      <c r="X147" s="9"/>
    </row>
    <row r="148">
      <c r="L148" s="9"/>
      <c r="X148" s="9"/>
    </row>
    <row r="149">
      <c r="L149" s="9"/>
      <c r="X149" s="9"/>
    </row>
    <row r="150">
      <c r="L150" s="9"/>
      <c r="X150" s="9"/>
    </row>
    <row r="151">
      <c r="L151" s="9"/>
      <c r="X151" s="9"/>
    </row>
    <row r="152">
      <c r="L152" s="9"/>
      <c r="X152" s="9"/>
    </row>
    <row r="153">
      <c r="L153" s="9"/>
      <c r="X153" s="9"/>
    </row>
    <row r="154">
      <c r="L154" s="9"/>
      <c r="X154" s="9"/>
    </row>
    <row r="155">
      <c r="L155" s="9"/>
      <c r="X155" s="9"/>
    </row>
    <row r="156">
      <c r="L156" s="9"/>
      <c r="X156" s="9"/>
    </row>
    <row r="157">
      <c r="L157" s="9"/>
      <c r="X157" s="9"/>
    </row>
    <row r="158">
      <c r="L158" s="9"/>
      <c r="X158" s="9"/>
    </row>
    <row r="159">
      <c r="L159" s="9"/>
      <c r="X159" s="9"/>
    </row>
    <row r="160">
      <c r="L160" s="9"/>
      <c r="X160" s="9"/>
    </row>
    <row r="161">
      <c r="L161" s="9"/>
      <c r="X161" s="9"/>
    </row>
    <row r="162">
      <c r="L162" s="9"/>
      <c r="X162" s="9"/>
    </row>
    <row r="163">
      <c r="L163" s="9"/>
      <c r="X163" s="9"/>
    </row>
    <row r="164">
      <c r="L164" s="9"/>
      <c r="X164" s="9"/>
    </row>
    <row r="165">
      <c r="L165" s="9"/>
      <c r="X165" s="9"/>
    </row>
    <row r="166">
      <c r="L166" s="9"/>
      <c r="X166" s="9"/>
    </row>
    <row r="167">
      <c r="L167" s="9"/>
      <c r="X167" s="9"/>
    </row>
    <row r="168">
      <c r="L168" s="9"/>
      <c r="X168" s="9"/>
    </row>
    <row r="169">
      <c r="L169" s="9"/>
      <c r="X169" s="9"/>
    </row>
    <row r="170">
      <c r="L170" s="9"/>
      <c r="X170" s="9"/>
    </row>
    <row r="171">
      <c r="L171" s="9"/>
      <c r="X171" s="9"/>
    </row>
    <row r="172">
      <c r="L172" s="9"/>
      <c r="X172" s="9"/>
    </row>
    <row r="173">
      <c r="L173" s="9"/>
      <c r="X173" s="9"/>
    </row>
    <row r="174">
      <c r="L174" s="9"/>
      <c r="X174" s="9"/>
    </row>
    <row r="175">
      <c r="L175" s="9"/>
      <c r="X175" s="9"/>
    </row>
    <row r="176">
      <c r="L176" s="9"/>
      <c r="X176" s="9"/>
    </row>
    <row r="177">
      <c r="L177" s="9"/>
      <c r="X177" s="9"/>
    </row>
    <row r="178">
      <c r="L178" s="9"/>
      <c r="X178" s="9"/>
    </row>
    <row r="179">
      <c r="L179" s="9"/>
      <c r="X179" s="9"/>
    </row>
    <row r="180">
      <c r="L180" s="9"/>
      <c r="X180" s="9"/>
    </row>
    <row r="181">
      <c r="L181" s="9"/>
      <c r="X181" s="9"/>
    </row>
    <row r="182">
      <c r="L182" s="9"/>
      <c r="X182" s="9"/>
    </row>
    <row r="183">
      <c r="L183" s="9"/>
      <c r="X183" s="9"/>
    </row>
    <row r="184">
      <c r="L184" s="9"/>
      <c r="X184" s="9"/>
    </row>
    <row r="185">
      <c r="L185" s="9"/>
      <c r="X185" s="9"/>
    </row>
    <row r="186">
      <c r="L186" s="9"/>
      <c r="X186" s="9"/>
    </row>
    <row r="187">
      <c r="L187" s="9"/>
      <c r="X187" s="9"/>
    </row>
    <row r="188">
      <c r="L188" s="9"/>
      <c r="X188" s="9"/>
    </row>
    <row r="189">
      <c r="L189" s="9"/>
      <c r="X189" s="9"/>
    </row>
    <row r="190">
      <c r="L190" s="9"/>
      <c r="X190" s="9"/>
    </row>
    <row r="191">
      <c r="L191" s="9"/>
      <c r="X191" s="9"/>
    </row>
    <row r="192">
      <c r="L192" s="9"/>
      <c r="X192" s="9"/>
    </row>
    <row r="193">
      <c r="L193" s="9"/>
      <c r="X193" s="9"/>
    </row>
    <row r="194">
      <c r="L194" s="9"/>
      <c r="X194" s="9"/>
    </row>
    <row r="195">
      <c r="L195" s="9"/>
      <c r="X195" s="9"/>
    </row>
    <row r="196">
      <c r="L196" s="9"/>
      <c r="X196" s="9"/>
    </row>
    <row r="197">
      <c r="L197" s="9"/>
      <c r="X197" s="9"/>
    </row>
    <row r="198">
      <c r="L198" s="9"/>
      <c r="X198" s="9"/>
    </row>
    <row r="199">
      <c r="L199" s="9"/>
      <c r="X199" s="9"/>
    </row>
    <row r="200">
      <c r="L200" s="9"/>
      <c r="X200" s="9"/>
    </row>
    <row r="201">
      <c r="L201" s="9"/>
      <c r="X201" s="9"/>
    </row>
    <row r="202">
      <c r="L202" s="9"/>
      <c r="X202" s="9"/>
    </row>
    <row r="203">
      <c r="L203" s="9"/>
      <c r="X203" s="9"/>
    </row>
    <row r="204">
      <c r="L204" s="9"/>
      <c r="X204" s="9"/>
    </row>
    <row r="205">
      <c r="L205" s="9"/>
      <c r="X205" s="9"/>
    </row>
    <row r="206">
      <c r="L206" s="9"/>
      <c r="X206" s="9"/>
    </row>
    <row r="207">
      <c r="L207" s="9"/>
      <c r="X207" s="9"/>
    </row>
    <row r="208">
      <c r="L208" s="9"/>
      <c r="X208" s="9"/>
    </row>
    <row r="209">
      <c r="L209" s="9"/>
      <c r="X209" s="9"/>
    </row>
    <row r="210">
      <c r="L210" s="9"/>
      <c r="X210" s="9"/>
    </row>
    <row r="211">
      <c r="L211" s="9"/>
      <c r="X211" s="9"/>
    </row>
    <row r="212">
      <c r="L212" s="9"/>
      <c r="X212" s="9"/>
    </row>
    <row r="213">
      <c r="L213" s="9"/>
      <c r="X213" s="9"/>
    </row>
    <row r="214">
      <c r="L214" s="9"/>
      <c r="X214" s="9"/>
    </row>
    <row r="215">
      <c r="L215" s="9"/>
      <c r="X215" s="9"/>
    </row>
    <row r="216">
      <c r="L216" s="9"/>
      <c r="X216" s="9"/>
    </row>
    <row r="217">
      <c r="L217" s="9"/>
      <c r="X217" s="9"/>
    </row>
    <row r="218">
      <c r="L218" s="9"/>
      <c r="X218" s="9"/>
    </row>
    <row r="219">
      <c r="L219" s="9"/>
      <c r="X219" s="9"/>
    </row>
    <row r="220">
      <c r="L220" s="9"/>
      <c r="X220" s="9"/>
    </row>
    <row r="221">
      <c r="L221" s="9"/>
      <c r="X221" s="9"/>
    </row>
    <row r="222">
      <c r="L222" s="9"/>
      <c r="X222" s="9"/>
    </row>
    <row r="223">
      <c r="L223" s="9"/>
      <c r="X223" s="9"/>
    </row>
    <row r="224">
      <c r="L224" s="9"/>
      <c r="X224" s="9"/>
    </row>
    <row r="225">
      <c r="L225" s="9"/>
      <c r="X225" s="9"/>
    </row>
    <row r="226">
      <c r="L226" s="9"/>
      <c r="X226" s="9"/>
    </row>
    <row r="227">
      <c r="L227" s="9"/>
      <c r="X227" s="9"/>
    </row>
    <row r="228">
      <c r="L228" s="9"/>
      <c r="X228" s="9"/>
    </row>
    <row r="229">
      <c r="L229" s="9"/>
      <c r="X229" s="9"/>
    </row>
    <row r="230">
      <c r="L230" s="9"/>
      <c r="X230" s="9"/>
    </row>
    <row r="231">
      <c r="L231" s="9"/>
      <c r="X231" s="9"/>
    </row>
    <row r="232">
      <c r="L232" s="9"/>
      <c r="X232" s="9"/>
    </row>
    <row r="233">
      <c r="L233" s="9"/>
      <c r="X233" s="9"/>
    </row>
    <row r="234">
      <c r="L234" s="9"/>
      <c r="X234" s="9"/>
    </row>
    <row r="235">
      <c r="L235" s="9"/>
      <c r="X235" s="9"/>
    </row>
    <row r="236">
      <c r="L236" s="9"/>
      <c r="X236" s="9"/>
    </row>
    <row r="237">
      <c r="L237" s="9"/>
      <c r="X237" s="9"/>
    </row>
    <row r="238">
      <c r="L238" s="9"/>
      <c r="X238" s="9"/>
    </row>
    <row r="239">
      <c r="L239" s="9"/>
      <c r="X239" s="9"/>
    </row>
    <row r="240">
      <c r="L240" s="9"/>
      <c r="X240" s="9"/>
    </row>
    <row r="241">
      <c r="L241" s="9"/>
      <c r="X241" s="9"/>
    </row>
    <row r="242">
      <c r="L242" s="9"/>
      <c r="X242" s="9"/>
    </row>
    <row r="243">
      <c r="L243" s="9"/>
      <c r="X243" s="9"/>
    </row>
    <row r="244">
      <c r="L244" s="9"/>
      <c r="X244" s="9"/>
    </row>
    <row r="245">
      <c r="L245" s="9"/>
      <c r="X245" s="9"/>
    </row>
    <row r="246">
      <c r="L246" s="9"/>
      <c r="X246" s="9"/>
    </row>
    <row r="247">
      <c r="L247" s="9"/>
      <c r="X247" s="9"/>
    </row>
    <row r="248">
      <c r="L248" s="9"/>
      <c r="X248" s="9"/>
    </row>
    <row r="249">
      <c r="L249" s="9"/>
      <c r="X249" s="9"/>
    </row>
    <row r="250">
      <c r="L250" s="9"/>
      <c r="X250" s="9"/>
    </row>
    <row r="251">
      <c r="L251" s="9"/>
      <c r="X251" s="9"/>
    </row>
    <row r="252">
      <c r="L252" s="9"/>
      <c r="X252" s="9"/>
    </row>
    <row r="253">
      <c r="L253" s="9"/>
      <c r="X253" s="9"/>
    </row>
    <row r="254">
      <c r="L254" s="9"/>
      <c r="X254" s="9"/>
    </row>
    <row r="255">
      <c r="L255" s="9"/>
      <c r="X255" s="9"/>
    </row>
    <row r="256">
      <c r="L256" s="9"/>
      <c r="X256" s="9"/>
    </row>
    <row r="257">
      <c r="L257" s="9"/>
      <c r="X257" s="9"/>
    </row>
    <row r="258">
      <c r="L258" s="9"/>
      <c r="X258" s="9"/>
    </row>
    <row r="259">
      <c r="L259" s="9"/>
      <c r="X259" s="9"/>
    </row>
    <row r="260">
      <c r="L260" s="9"/>
      <c r="X260" s="9"/>
    </row>
    <row r="261">
      <c r="L261" s="9"/>
      <c r="X261" s="9"/>
    </row>
    <row r="262">
      <c r="L262" s="9"/>
      <c r="X262" s="9"/>
    </row>
    <row r="263">
      <c r="L263" s="9"/>
      <c r="X263" s="9"/>
    </row>
    <row r="264">
      <c r="L264" s="9"/>
      <c r="X264" s="9"/>
    </row>
    <row r="265">
      <c r="L265" s="9"/>
      <c r="X265" s="9"/>
    </row>
    <row r="266">
      <c r="L266" s="9"/>
      <c r="X266" s="9"/>
    </row>
    <row r="267">
      <c r="L267" s="9"/>
      <c r="X267" s="9"/>
    </row>
    <row r="268">
      <c r="L268" s="9"/>
      <c r="X268" s="9"/>
    </row>
    <row r="269">
      <c r="L269" s="9"/>
      <c r="X269" s="9"/>
    </row>
    <row r="270">
      <c r="L270" s="9"/>
      <c r="X270" s="9"/>
    </row>
    <row r="271">
      <c r="L271" s="9"/>
      <c r="X271" s="9"/>
    </row>
    <row r="272">
      <c r="L272" s="9"/>
      <c r="X272" s="9"/>
    </row>
    <row r="273">
      <c r="L273" s="9"/>
      <c r="X273" s="9"/>
    </row>
    <row r="274">
      <c r="L274" s="9"/>
      <c r="X274" s="9"/>
    </row>
    <row r="275">
      <c r="L275" s="9"/>
      <c r="X275" s="9"/>
    </row>
    <row r="276">
      <c r="L276" s="9"/>
      <c r="X276" s="9"/>
    </row>
    <row r="277">
      <c r="L277" s="9"/>
      <c r="X277" s="9"/>
    </row>
    <row r="278">
      <c r="L278" s="9"/>
      <c r="X278" s="9"/>
    </row>
    <row r="279">
      <c r="L279" s="9"/>
      <c r="X279" s="9"/>
    </row>
    <row r="280">
      <c r="L280" s="9"/>
      <c r="X280" s="9"/>
    </row>
    <row r="281">
      <c r="L281" s="9"/>
      <c r="X281" s="9"/>
    </row>
    <row r="282">
      <c r="L282" s="9"/>
      <c r="X282" s="9"/>
    </row>
    <row r="283">
      <c r="L283" s="9"/>
      <c r="X283" s="9"/>
    </row>
    <row r="284">
      <c r="L284" s="9"/>
      <c r="X284" s="9"/>
    </row>
    <row r="285">
      <c r="L285" s="9"/>
      <c r="X285" s="9"/>
    </row>
    <row r="286">
      <c r="L286" s="9"/>
      <c r="X286" s="9"/>
    </row>
    <row r="287">
      <c r="L287" s="9"/>
      <c r="X287" s="9"/>
    </row>
    <row r="288">
      <c r="L288" s="9"/>
      <c r="X288" s="9"/>
    </row>
    <row r="289">
      <c r="L289" s="9"/>
      <c r="X289" s="9"/>
    </row>
    <row r="290">
      <c r="L290" s="9"/>
      <c r="X290" s="9"/>
    </row>
    <row r="291">
      <c r="L291" s="9"/>
      <c r="X291" s="9"/>
    </row>
    <row r="292">
      <c r="L292" s="9"/>
      <c r="X292" s="9"/>
    </row>
    <row r="293">
      <c r="L293" s="9"/>
      <c r="X293" s="9"/>
    </row>
    <row r="294">
      <c r="L294" s="9"/>
      <c r="X294" s="9"/>
    </row>
    <row r="295">
      <c r="L295" s="9"/>
      <c r="X295" s="9"/>
    </row>
    <row r="296">
      <c r="L296" s="9"/>
      <c r="X296" s="9"/>
    </row>
    <row r="297">
      <c r="L297" s="9"/>
      <c r="X297" s="9"/>
    </row>
    <row r="298">
      <c r="L298" s="9"/>
      <c r="X298" s="9"/>
    </row>
    <row r="299">
      <c r="L299" s="9"/>
      <c r="X299" s="9"/>
    </row>
    <row r="300">
      <c r="L300" s="9"/>
      <c r="X300" s="9"/>
    </row>
    <row r="301">
      <c r="L301" s="9"/>
      <c r="X301" s="9"/>
    </row>
    <row r="302">
      <c r="L302" s="9"/>
      <c r="X302" s="9"/>
    </row>
    <row r="303">
      <c r="L303" s="9"/>
      <c r="X303" s="9"/>
    </row>
    <row r="304">
      <c r="L304" s="9"/>
      <c r="X304" s="9"/>
    </row>
    <row r="305">
      <c r="L305" s="9"/>
      <c r="X305" s="9"/>
    </row>
    <row r="306">
      <c r="L306" s="9"/>
      <c r="X306" s="9"/>
    </row>
    <row r="307">
      <c r="L307" s="9"/>
      <c r="X307" s="9"/>
    </row>
    <row r="308">
      <c r="L308" s="9"/>
      <c r="X308" s="9"/>
    </row>
    <row r="309">
      <c r="L309" s="9"/>
      <c r="X309" s="9"/>
    </row>
    <row r="310">
      <c r="L310" s="9"/>
      <c r="X310" s="9"/>
    </row>
    <row r="311">
      <c r="L311" s="9"/>
      <c r="X311" s="9"/>
    </row>
    <row r="312">
      <c r="L312" s="9"/>
      <c r="X312" s="9"/>
    </row>
    <row r="313">
      <c r="L313" s="9"/>
      <c r="X313" s="9"/>
    </row>
    <row r="314">
      <c r="L314" s="9"/>
      <c r="X314" s="9"/>
    </row>
    <row r="315">
      <c r="L315" s="9"/>
      <c r="X315" s="9"/>
    </row>
    <row r="316">
      <c r="L316" s="9"/>
      <c r="X316" s="9"/>
    </row>
    <row r="317">
      <c r="L317" s="9"/>
      <c r="X317" s="9"/>
    </row>
    <row r="318">
      <c r="L318" s="9"/>
      <c r="X318" s="9"/>
    </row>
    <row r="319">
      <c r="L319" s="9"/>
      <c r="X319" s="9"/>
    </row>
    <row r="320">
      <c r="L320" s="9"/>
      <c r="X320" s="9"/>
    </row>
    <row r="321">
      <c r="L321" s="9"/>
      <c r="X321" s="9"/>
    </row>
    <row r="322">
      <c r="L322" s="9"/>
      <c r="X322" s="9"/>
    </row>
    <row r="323">
      <c r="L323" s="9"/>
      <c r="X323" s="9"/>
    </row>
    <row r="324">
      <c r="L324" s="9"/>
      <c r="X324" s="9"/>
    </row>
    <row r="325">
      <c r="L325" s="9"/>
      <c r="X325" s="9"/>
    </row>
    <row r="326">
      <c r="L326" s="9"/>
      <c r="X326" s="9"/>
    </row>
    <row r="327">
      <c r="L327" s="9"/>
      <c r="X327" s="9"/>
    </row>
    <row r="328">
      <c r="L328" s="9"/>
      <c r="X328" s="9"/>
    </row>
    <row r="329">
      <c r="L329" s="9"/>
      <c r="X329" s="9"/>
    </row>
    <row r="330">
      <c r="L330" s="9"/>
      <c r="X330" s="9"/>
    </row>
    <row r="331">
      <c r="L331" s="9"/>
      <c r="X331" s="9"/>
    </row>
    <row r="332">
      <c r="L332" s="9"/>
      <c r="X332" s="9"/>
    </row>
    <row r="333">
      <c r="L333" s="9"/>
      <c r="X333" s="9"/>
    </row>
    <row r="334">
      <c r="L334" s="9"/>
      <c r="X334" s="9"/>
    </row>
    <row r="335">
      <c r="L335" s="9"/>
      <c r="X335" s="9"/>
    </row>
    <row r="336">
      <c r="L336" s="9"/>
      <c r="X336" s="9"/>
    </row>
    <row r="337">
      <c r="L337" s="9"/>
      <c r="X337" s="9"/>
    </row>
    <row r="338">
      <c r="L338" s="9"/>
      <c r="X338" s="9"/>
    </row>
    <row r="339">
      <c r="L339" s="9"/>
      <c r="X339" s="9"/>
    </row>
    <row r="340">
      <c r="L340" s="9"/>
      <c r="X340" s="9"/>
    </row>
    <row r="341">
      <c r="L341" s="9"/>
      <c r="X341" s="9"/>
    </row>
    <row r="342">
      <c r="L342" s="9"/>
      <c r="X342" s="9"/>
    </row>
    <row r="343">
      <c r="L343" s="9"/>
      <c r="X343" s="9"/>
    </row>
    <row r="344">
      <c r="L344" s="9"/>
      <c r="X344" s="9"/>
    </row>
    <row r="345">
      <c r="L345" s="9"/>
      <c r="X345" s="9"/>
    </row>
    <row r="346">
      <c r="L346" s="9"/>
      <c r="X346" s="9"/>
    </row>
    <row r="347">
      <c r="L347" s="9"/>
      <c r="X347" s="9"/>
    </row>
    <row r="348">
      <c r="L348" s="9"/>
      <c r="X348" s="9"/>
    </row>
    <row r="349">
      <c r="L349" s="9"/>
      <c r="X349" s="9"/>
    </row>
    <row r="350">
      <c r="L350" s="9"/>
      <c r="X350" s="9"/>
    </row>
    <row r="351">
      <c r="L351" s="9"/>
      <c r="X351" s="9"/>
    </row>
    <row r="352">
      <c r="L352" s="9"/>
      <c r="X352" s="9"/>
    </row>
    <row r="353">
      <c r="L353" s="9"/>
      <c r="X353" s="9"/>
    </row>
    <row r="354">
      <c r="L354" s="9"/>
      <c r="X354" s="9"/>
    </row>
    <row r="355">
      <c r="L355" s="9"/>
      <c r="X355" s="9"/>
    </row>
    <row r="356">
      <c r="L356" s="9"/>
      <c r="X356" s="9"/>
    </row>
    <row r="357">
      <c r="L357" s="9"/>
      <c r="X357" s="9"/>
    </row>
    <row r="358">
      <c r="L358" s="9"/>
      <c r="X358" s="9"/>
    </row>
    <row r="359">
      <c r="L359" s="9"/>
      <c r="X359" s="9"/>
    </row>
    <row r="360">
      <c r="L360" s="9"/>
      <c r="X360" s="9"/>
    </row>
    <row r="361">
      <c r="L361" s="9"/>
      <c r="X361" s="9"/>
    </row>
    <row r="362">
      <c r="L362" s="9"/>
      <c r="X362" s="9"/>
    </row>
    <row r="363">
      <c r="L363" s="9"/>
      <c r="X363" s="9"/>
    </row>
    <row r="364">
      <c r="L364" s="9"/>
      <c r="X364" s="9"/>
    </row>
    <row r="365">
      <c r="L365" s="9"/>
      <c r="X365" s="9"/>
    </row>
    <row r="366">
      <c r="L366" s="9"/>
      <c r="X366" s="9"/>
    </row>
    <row r="367">
      <c r="L367" s="9"/>
      <c r="X367" s="9"/>
    </row>
    <row r="368">
      <c r="L368" s="9"/>
      <c r="X368" s="9"/>
    </row>
    <row r="369">
      <c r="L369" s="9"/>
      <c r="X369" s="9"/>
    </row>
    <row r="370">
      <c r="L370" s="9"/>
      <c r="X370" s="9"/>
    </row>
    <row r="371">
      <c r="L371" s="9"/>
      <c r="X371" s="9"/>
    </row>
    <row r="372">
      <c r="L372" s="9"/>
      <c r="X372" s="9"/>
    </row>
    <row r="373">
      <c r="L373" s="9"/>
      <c r="X373" s="9"/>
    </row>
    <row r="374">
      <c r="L374" s="9"/>
      <c r="X374" s="9"/>
    </row>
    <row r="375">
      <c r="L375" s="9"/>
      <c r="X375" s="9"/>
    </row>
    <row r="376">
      <c r="L376" s="9"/>
      <c r="X376" s="9"/>
    </row>
    <row r="377">
      <c r="L377" s="9"/>
      <c r="X377" s="9"/>
    </row>
    <row r="378">
      <c r="L378" s="9"/>
      <c r="X378" s="9"/>
    </row>
    <row r="379">
      <c r="L379" s="9"/>
      <c r="X379" s="9"/>
    </row>
    <row r="380">
      <c r="L380" s="9"/>
      <c r="X380" s="9"/>
    </row>
    <row r="381">
      <c r="L381" s="9"/>
      <c r="X381" s="9"/>
    </row>
    <row r="382">
      <c r="L382" s="9"/>
      <c r="X382" s="9"/>
    </row>
    <row r="383">
      <c r="L383" s="9"/>
      <c r="X383" s="9"/>
    </row>
    <row r="384">
      <c r="L384" s="9"/>
      <c r="X384" s="9"/>
    </row>
    <row r="385">
      <c r="L385" s="9"/>
      <c r="X385" s="9"/>
    </row>
    <row r="386">
      <c r="L386" s="9"/>
      <c r="X386" s="9"/>
    </row>
    <row r="387">
      <c r="L387" s="9"/>
      <c r="X387" s="9"/>
    </row>
    <row r="388">
      <c r="L388" s="9"/>
      <c r="X388" s="9"/>
    </row>
    <row r="389">
      <c r="L389" s="9"/>
      <c r="X389" s="9"/>
    </row>
    <row r="390">
      <c r="L390" s="9"/>
      <c r="X390" s="9"/>
    </row>
    <row r="391">
      <c r="L391" s="9"/>
      <c r="X391" s="9"/>
    </row>
    <row r="392">
      <c r="L392" s="9"/>
      <c r="X392" s="9"/>
    </row>
    <row r="393">
      <c r="L393" s="9"/>
      <c r="X393" s="9"/>
    </row>
    <row r="394">
      <c r="L394" s="9"/>
      <c r="X394" s="9"/>
    </row>
    <row r="395">
      <c r="L395" s="9"/>
      <c r="X395" s="9"/>
    </row>
    <row r="396">
      <c r="L396" s="9"/>
      <c r="X396" s="9"/>
    </row>
    <row r="397">
      <c r="L397" s="9"/>
      <c r="X397" s="9"/>
    </row>
    <row r="398">
      <c r="L398" s="9"/>
      <c r="X398" s="9"/>
    </row>
    <row r="399">
      <c r="L399" s="9"/>
      <c r="X399" s="9"/>
    </row>
    <row r="400">
      <c r="L400" s="9"/>
      <c r="X400" s="9"/>
    </row>
    <row r="401">
      <c r="L401" s="9"/>
      <c r="X401" s="9"/>
    </row>
    <row r="402">
      <c r="L402" s="9"/>
      <c r="X402" s="9"/>
    </row>
    <row r="403">
      <c r="L403" s="9"/>
      <c r="X403" s="9"/>
    </row>
    <row r="404">
      <c r="L404" s="9"/>
      <c r="X404" s="9"/>
    </row>
    <row r="405">
      <c r="L405" s="9"/>
      <c r="X405" s="9"/>
    </row>
    <row r="406">
      <c r="L406" s="9"/>
      <c r="X406" s="9"/>
    </row>
    <row r="407">
      <c r="L407" s="9"/>
      <c r="X407" s="9"/>
    </row>
    <row r="408">
      <c r="L408" s="9"/>
      <c r="X408" s="9"/>
    </row>
    <row r="409">
      <c r="L409" s="9"/>
      <c r="X409" s="9"/>
    </row>
    <row r="410">
      <c r="L410" s="9"/>
      <c r="X410" s="9"/>
    </row>
    <row r="411">
      <c r="L411" s="9"/>
      <c r="X411" s="9"/>
    </row>
    <row r="412">
      <c r="L412" s="9"/>
      <c r="X412" s="9"/>
    </row>
    <row r="413">
      <c r="L413" s="9"/>
      <c r="X413" s="9"/>
    </row>
    <row r="414">
      <c r="L414" s="9"/>
      <c r="X414" s="9"/>
    </row>
    <row r="415">
      <c r="L415" s="9"/>
      <c r="X415" s="9"/>
    </row>
    <row r="416">
      <c r="L416" s="9"/>
      <c r="X416" s="9"/>
    </row>
    <row r="417">
      <c r="L417" s="9"/>
      <c r="X417" s="9"/>
    </row>
    <row r="418">
      <c r="L418" s="9"/>
      <c r="X418" s="9"/>
    </row>
    <row r="419">
      <c r="L419" s="9"/>
      <c r="X419" s="9"/>
    </row>
    <row r="420">
      <c r="L420" s="9"/>
      <c r="X420" s="9"/>
    </row>
    <row r="421">
      <c r="L421" s="9"/>
      <c r="X421" s="9"/>
    </row>
    <row r="422">
      <c r="L422" s="9"/>
      <c r="X422" s="9"/>
    </row>
    <row r="423">
      <c r="L423" s="9"/>
      <c r="X423" s="9"/>
    </row>
    <row r="424">
      <c r="L424" s="9"/>
      <c r="X424" s="9"/>
    </row>
    <row r="425">
      <c r="L425" s="9"/>
      <c r="X425" s="9"/>
    </row>
    <row r="426">
      <c r="L426" s="9"/>
      <c r="X426" s="9"/>
    </row>
    <row r="427">
      <c r="L427" s="9"/>
      <c r="X427" s="9"/>
    </row>
    <row r="428">
      <c r="L428" s="9"/>
      <c r="X428" s="9"/>
    </row>
    <row r="429">
      <c r="L429" s="9"/>
      <c r="X429" s="9"/>
    </row>
    <row r="430">
      <c r="L430" s="9"/>
      <c r="X430" s="9"/>
    </row>
    <row r="431">
      <c r="L431" s="9"/>
      <c r="X431" s="9"/>
    </row>
    <row r="432">
      <c r="L432" s="9"/>
      <c r="X432" s="9"/>
    </row>
    <row r="433">
      <c r="L433" s="9"/>
      <c r="X433" s="9"/>
    </row>
    <row r="434">
      <c r="L434" s="9"/>
      <c r="X434" s="9"/>
    </row>
    <row r="435">
      <c r="L435" s="9"/>
      <c r="X435" s="9"/>
    </row>
    <row r="436">
      <c r="L436" s="9"/>
      <c r="X436" s="9"/>
    </row>
    <row r="437">
      <c r="L437" s="9"/>
      <c r="X437" s="9"/>
    </row>
    <row r="438">
      <c r="L438" s="9"/>
      <c r="X438" s="9"/>
    </row>
    <row r="439">
      <c r="L439" s="9"/>
      <c r="X439" s="9"/>
    </row>
    <row r="440">
      <c r="L440" s="9"/>
      <c r="X440" s="9"/>
    </row>
    <row r="441">
      <c r="L441" s="9"/>
      <c r="X441" s="9"/>
    </row>
    <row r="442">
      <c r="L442" s="9"/>
      <c r="X442" s="9"/>
    </row>
    <row r="443">
      <c r="L443" s="9"/>
      <c r="X443" s="9"/>
    </row>
    <row r="444">
      <c r="L444" s="9"/>
      <c r="X444" s="9"/>
    </row>
    <row r="445">
      <c r="L445" s="9"/>
      <c r="X445" s="9"/>
    </row>
    <row r="446">
      <c r="L446" s="9"/>
      <c r="X446" s="9"/>
    </row>
    <row r="447">
      <c r="L447" s="9"/>
      <c r="X447" s="9"/>
    </row>
    <row r="448">
      <c r="L448" s="9"/>
      <c r="X448" s="9"/>
    </row>
    <row r="449">
      <c r="L449" s="9"/>
      <c r="X449" s="9"/>
    </row>
    <row r="450">
      <c r="L450" s="9"/>
      <c r="X450" s="9"/>
    </row>
    <row r="451">
      <c r="L451" s="9"/>
      <c r="X451" s="9"/>
    </row>
    <row r="452">
      <c r="L452" s="9"/>
      <c r="X452" s="9"/>
    </row>
    <row r="453">
      <c r="L453" s="9"/>
      <c r="X453" s="9"/>
    </row>
    <row r="454">
      <c r="L454" s="9"/>
      <c r="X454" s="9"/>
    </row>
    <row r="455">
      <c r="L455" s="9"/>
      <c r="X455" s="9"/>
    </row>
    <row r="456">
      <c r="L456" s="9"/>
      <c r="X456" s="9"/>
    </row>
    <row r="457">
      <c r="L457" s="9"/>
      <c r="X457" s="9"/>
    </row>
    <row r="458">
      <c r="L458" s="9"/>
      <c r="X458" s="9"/>
    </row>
    <row r="459">
      <c r="L459" s="9"/>
      <c r="X459" s="9"/>
    </row>
    <row r="460">
      <c r="L460" s="9"/>
      <c r="X460" s="9"/>
    </row>
    <row r="461">
      <c r="L461" s="9"/>
      <c r="X461" s="9"/>
    </row>
    <row r="462">
      <c r="L462" s="9"/>
      <c r="X462" s="9"/>
    </row>
    <row r="463">
      <c r="L463" s="9"/>
      <c r="X463" s="9"/>
    </row>
    <row r="464">
      <c r="L464" s="9"/>
      <c r="X464" s="9"/>
    </row>
    <row r="465">
      <c r="L465" s="9"/>
      <c r="X465" s="9"/>
    </row>
    <row r="466">
      <c r="L466" s="9"/>
      <c r="X466" s="9"/>
    </row>
    <row r="467">
      <c r="L467" s="9"/>
      <c r="X467" s="9"/>
    </row>
    <row r="468">
      <c r="L468" s="9"/>
      <c r="X468" s="9"/>
    </row>
    <row r="469">
      <c r="L469" s="9"/>
      <c r="X469" s="9"/>
    </row>
    <row r="470">
      <c r="L470" s="9"/>
      <c r="X470" s="9"/>
    </row>
    <row r="471">
      <c r="L471" s="9"/>
      <c r="X471" s="9"/>
    </row>
    <row r="472">
      <c r="L472" s="9"/>
      <c r="X472" s="9"/>
    </row>
    <row r="473">
      <c r="L473" s="9"/>
      <c r="X473" s="9"/>
    </row>
    <row r="474">
      <c r="L474" s="9"/>
      <c r="X474" s="9"/>
    </row>
    <row r="475">
      <c r="L475" s="9"/>
      <c r="X475" s="9"/>
    </row>
    <row r="476">
      <c r="L476" s="9"/>
      <c r="X476" s="9"/>
    </row>
    <row r="477">
      <c r="L477" s="9"/>
      <c r="X477" s="9"/>
    </row>
    <row r="478">
      <c r="L478" s="9"/>
      <c r="X478" s="9"/>
    </row>
    <row r="479">
      <c r="L479" s="9"/>
      <c r="X479" s="9"/>
    </row>
    <row r="480">
      <c r="L480" s="9"/>
      <c r="X480" s="9"/>
    </row>
    <row r="481">
      <c r="L481" s="9"/>
      <c r="X481" s="9"/>
    </row>
    <row r="482">
      <c r="L482" s="9"/>
      <c r="X482" s="9"/>
    </row>
    <row r="483">
      <c r="L483" s="9"/>
      <c r="X483" s="9"/>
    </row>
    <row r="484">
      <c r="L484" s="9"/>
      <c r="X484" s="9"/>
    </row>
    <row r="485">
      <c r="L485" s="9"/>
      <c r="X485" s="9"/>
    </row>
    <row r="486">
      <c r="L486" s="9"/>
      <c r="X486" s="9"/>
    </row>
    <row r="487">
      <c r="L487" s="9"/>
      <c r="X487" s="9"/>
    </row>
    <row r="488">
      <c r="L488" s="9"/>
      <c r="X488" s="9"/>
    </row>
    <row r="489">
      <c r="L489" s="9"/>
      <c r="X489" s="9"/>
    </row>
    <row r="490">
      <c r="L490" s="9"/>
      <c r="X490" s="9"/>
    </row>
    <row r="491">
      <c r="L491" s="9"/>
      <c r="X491" s="9"/>
    </row>
    <row r="492">
      <c r="L492" s="9"/>
      <c r="X492" s="9"/>
    </row>
    <row r="493">
      <c r="L493" s="9"/>
      <c r="X493" s="9"/>
    </row>
    <row r="494">
      <c r="L494" s="9"/>
      <c r="X494" s="9"/>
    </row>
    <row r="495">
      <c r="L495" s="9"/>
      <c r="X495" s="9"/>
    </row>
    <row r="496">
      <c r="L496" s="9"/>
      <c r="X496" s="9"/>
    </row>
    <row r="497">
      <c r="L497" s="9"/>
      <c r="X497" s="9"/>
    </row>
    <row r="498">
      <c r="L498" s="9"/>
      <c r="X498" s="9"/>
    </row>
    <row r="499">
      <c r="L499" s="9"/>
      <c r="X499" s="9"/>
    </row>
    <row r="500">
      <c r="L500" s="9"/>
      <c r="X500" s="9"/>
    </row>
    <row r="501">
      <c r="L501" s="9"/>
      <c r="X501" s="9"/>
    </row>
    <row r="502">
      <c r="L502" s="9"/>
      <c r="X502" s="9"/>
    </row>
    <row r="503">
      <c r="L503" s="9"/>
      <c r="X503" s="9"/>
    </row>
    <row r="504">
      <c r="L504" s="9"/>
      <c r="X504" s="9"/>
    </row>
    <row r="505">
      <c r="L505" s="9"/>
      <c r="X505" s="9"/>
    </row>
    <row r="506">
      <c r="L506" s="9"/>
      <c r="X506" s="9"/>
    </row>
    <row r="507">
      <c r="L507" s="9"/>
      <c r="X507" s="9"/>
    </row>
    <row r="508">
      <c r="L508" s="9"/>
      <c r="X508" s="9"/>
    </row>
    <row r="509">
      <c r="L509" s="9"/>
      <c r="X509" s="9"/>
    </row>
    <row r="510">
      <c r="L510" s="9"/>
      <c r="X510" s="9"/>
    </row>
    <row r="511">
      <c r="L511" s="9"/>
      <c r="X511" s="9"/>
    </row>
    <row r="512">
      <c r="L512" s="9"/>
      <c r="X512" s="9"/>
    </row>
    <row r="513">
      <c r="L513" s="9"/>
      <c r="X513" s="9"/>
    </row>
    <row r="514">
      <c r="L514" s="9"/>
      <c r="X514" s="9"/>
    </row>
    <row r="515">
      <c r="L515" s="9"/>
      <c r="X515" s="9"/>
    </row>
    <row r="516">
      <c r="L516" s="9"/>
      <c r="X516" s="9"/>
    </row>
    <row r="517">
      <c r="L517" s="9"/>
      <c r="X517" s="9"/>
    </row>
    <row r="518">
      <c r="L518" s="9"/>
      <c r="X518" s="9"/>
    </row>
    <row r="519">
      <c r="L519" s="9"/>
      <c r="X519" s="9"/>
    </row>
    <row r="520">
      <c r="L520" s="9"/>
      <c r="X520" s="9"/>
    </row>
    <row r="521">
      <c r="L521" s="9"/>
      <c r="X521" s="9"/>
    </row>
    <row r="522">
      <c r="L522" s="9"/>
      <c r="X522" s="9"/>
    </row>
    <row r="523">
      <c r="L523" s="9"/>
      <c r="X523" s="9"/>
    </row>
    <row r="524">
      <c r="L524" s="9"/>
      <c r="X524" s="9"/>
    </row>
    <row r="525">
      <c r="L525" s="9"/>
      <c r="X525" s="9"/>
    </row>
    <row r="526">
      <c r="L526" s="9"/>
      <c r="X526" s="9"/>
    </row>
    <row r="527">
      <c r="L527" s="9"/>
      <c r="X527" s="9"/>
    </row>
    <row r="528">
      <c r="L528" s="9"/>
      <c r="X528" s="9"/>
    </row>
    <row r="529">
      <c r="L529" s="9"/>
      <c r="X529" s="9"/>
    </row>
    <row r="530">
      <c r="L530" s="9"/>
      <c r="X530" s="9"/>
    </row>
    <row r="531">
      <c r="L531" s="9"/>
      <c r="X531" s="9"/>
    </row>
    <row r="532">
      <c r="L532" s="9"/>
      <c r="X532" s="9"/>
    </row>
    <row r="533">
      <c r="L533" s="9"/>
      <c r="X533" s="9"/>
    </row>
    <row r="534">
      <c r="L534" s="9"/>
      <c r="X534" s="9"/>
    </row>
    <row r="535">
      <c r="L535" s="9"/>
      <c r="X535" s="9"/>
    </row>
    <row r="536">
      <c r="L536" s="9"/>
      <c r="X536" s="9"/>
    </row>
    <row r="537">
      <c r="L537" s="9"/>
      <c r="X537" s="9"/>
    </row>
    <row r="538">
      <c r="L538" s="9"/>
      <c r="X538" s="9"/>
    </row>
    <row r="539">
      <c r="L539" s="9"/>
      <c r="X539" s="9"/>
    </row>
    <row r="540">
      <c r="L540" s="9"/>
      <c r="X540" s="9"/>
    </row>
    <row r="541">
      <c r="L541" s="9"/>
      <c r="X541" s="9"/>
    </row>
    <row r="542">
      <c r="L542" s="9"/>
      <c r="X542" s="9"/>
    </row>
    <row r="543">
      <c r="L543" s="9"/>
      <c r="X543" s="9"/>
    </row>
    <row r="544">
      <c r="L544" s="9"/>
      <c r="X544" s="9"/>
    </row>
    <row r="545">
      <c r="L545" s="9"/>
      <c r="X545" s="9"/>
    </row>
    <row r="546">
      <c r="L546" s="9"/>
      <c r="X546" s="9"/>
    </row>
    <row r="547">
      <c r="L547" s="9"/>
      <c r="X547" s="9"/>
    </row>
    <row r="548">
      <c r="L548" s="9"/>
      <c r="X548" s="9"/>
    </row>
    <row r="549">
      <c r="L549" s="9"/>
      <c r="X549" s="9"/>
    </row>
    <row r="550">
      <c r="L550" s="9"/>
      <c r="X550" s="9"/>
    </row>
    <row r="551">
      <c r="L551" s="9"/>
      <c r="X551" s="9"/>
    </row>
    <row r="552">
      <c r="L552" s="9"/>
      <c r="X552" s="9"/>
    </row>
    <row r="553">
      <c r="L553" s="9"/>
      <c r="X553" s="9"/>
    </row>
    <row r="554">
      <c r="L554" s="9"/>
      <c r="X554" s="9"/>
    </row>
    <row r="555">
      <c r="L555" s="9"/>
      <c r="X555" s="9"/>
    </row>
    <row r="556">
      <c r="L556" s="9"/>
      <c r="X556" s="9"/>
    </row>
    <row r="557">
      <c r="L557" s="9"/>
      <c r="X557" s="9"/>
    </row>
    <row r="558">
      <c r="L558" s="9"/>
      <c r="X558" s="9"/>
    </row>
    <row r="559">
      <c r="L559" s="9"/>
      <c r="X559" s="9"/>
    </row>
    <row r="560">
      <c r="L560" s="9"/>
      <c r="X560" s="9"/>
    </row>
    <row r="561">
      <c r="L561" s="9"/>
      <c r="X561" s="9"/>
    </row>
    <row r="562">
      <c r="L562" s="9"/>
      <c r="X562" s="9"/>
    </row>
    <row r="563">
      <c r="L563" s="9"/>
      <c r="X563" s="9"/>
    </row>
    <row r="564">
      <c r="L564" s="9"/>
      <c r="X564" s="9"/>
    </row>
    <row r="565">
      <c r="L565" s="9"/>
      <c r="X565" s="9"/>
    </row>
    <row r="566">
      <c r="L566" s="9"/>
      <c r="X566" s="9"/>
    </row>
    <row r="567">
      <c r="L567" s="9"/>
      <c r="X567" s="9"/>
    </row>
    <row r="568">
      <c r="L568" s="9"/>
      <c r="X568" s="9"/>
    </row>
    <row r="569">
      <c r="L569" s="9"/>
      <c r="X569" s="9"/>
    </row>
    <row r="570">
      <c r="L570" s="9"/>
      <c r="X570" s="9"/>
    </row>
    <row r="571">
      <c r="L571" s="9"/>
      <c r="X571" s="9"/>
    </row>
    <row r="572">
      <c r="L572" s="9"/>
      <c r="X572" s="9"/>
    </row>
    <row r="573">
      <c r="L573" s="9"/>
      <c r="X573" s="9"/>
    </row>
    <row r="574">
      <c r="L574" s="9"/>
      <c r="X574" s="9"/>
    </row>
    <row r="575">
      <c r="L575" s="9"/>
      <c r="X575" s="9"/>
    </row>
    <row r="576">
      <c r="L576" s="9"/>
      <c r="X576" s="9"/>
    </row>
    <row r="577">
      <c r="L577" s="9"/>
      <c r="X577" s="9"/>
    </row>
    <row r="578">
      <c r="L578" s="9"/>
      <c r="X578" s="9"/>
    </row>
    <row r="579">
      <c r="L579" s="9"/>
      <c r="X579" s="9"/>
    </row>
    <row r="580">
      <c r="L580" s="9"/>
      <c r="X580" s="9"/>
    </row>
    <row r="581">
      <c r="L581" s="9"/>
      <c r="X581" s="9"/>
    </row>
    <row r="582">
      <c r="L582" s="9"/>
      <c r="X582" s="9"/>
    </row>
    <row r="583">
      <c r="L583" s="9"/>
      <c r="X583" s="9"/>
    </row>
    <row r="584">
      <c r="L584" s="9"/>
      <c r="X584" s="9"/>
    </row>
    <row r="585">
      <c r="L585" s="9"/>
      <c r="X585" s="9"/>
    </row>
    <row r="586">
      <c r="L586" s="9"/>
      <c r="X586" s="9"/>
    </row>
    <row r="587">
      <c r="L587" s="9"/>
      <c r="X587" s="9"/>
    </row>
    <row r="588">
      <c r="L588" s="9"/>
      <c r="X588" s="9"/>
    </row>
    <row r="589">
      <c r="L589" s="9"/>
      <c r="X589" s="9"/>
    </row>
    <row r="590">
      <c r="L590" s="9"/>
      <c r="X590" s="9"/>
    </row>
    <row r="591">
      <c r="L591" s="9"/>
      <c r="X591" s="9"/>
    </row>
    <row r="592">
      <c r="L592" s="9"/>
      <c r="X592" s="9"/>
    </row>
    <row r="593">
      <c r="L593" s="9"/>
      <c r="X593" s="9"/>
    </row>
    <row r="594">
      <c r="L594" s="9"/>
      <c r="X594" s="9"/>
    </row>
    <row r="595">
      <c r="L595" s="9"/>
      <c r="X595" s="9"/>
    </row>
    <row r="596">
      <c r="L596" s="9"/>
      <c r="X596" s="9"/>
    </row>
    <row r="597">
      <c r="L597" s="9"/>
      <c r="X597" s="9"/>
    </row>
    <row r="598">
      <c r="L598" s="9"/>
      <c r="X598" s="9"/>
    </row>
    <row r="599">
      <c r="L599" s="9"/>
      <c r="X599" s="9"/>
    </row>
    <row r="600">
      <c r="L600" s="9"/>
      <c r="X600" s="9"/>
    </row>
    <row r="601">
      <c r="L601" s="9"/>
      <c r="X601" s="9"/>
    </row>
    <row r="602">
      <c r="L602" s="9"/>
      <c r="X602" s="9"/>
    </row>
    <row r="603">
      <c r="L603" s="9"/>
      <c r="X603" s="9"/>
    </row>
    <row r="604">
      <c r="L604" s="9"/>
      <c r="X604" s="9"/>
    </row>
    <row r="605">
      <c r="L605" s="9"/>
      <c r="X605" s="9"/>
    </row>
    <row r="606">
      <c r="L606" s="9"/>
      <c r="X606" s="9"/>
    </row>
    <row r="607">
      <c r="L607" s="9"/>
      <c r="X607" s="9"/>
    </row>
    <row r="608">
      <c r="L608" s="9"/>
      <c r="X608" s="9"/>
    </row>
    <row r="609">
      <c r="L609" s="9"/>
      <c r="X609" s="9"/>
    </row>
    <row r="610">
      <c r="L610" s="9"/>
      <c r="X610" s="9"/>
    </row>
    <row r="611">
      <c r="L611" s="9"/>
      <c r="X611" s="9"/>
    </row>
    <row r="612">
      <c r="L612" s="9"/>
      <c r="X612" s="9"/>
    </row>
    <row r="613">
      <c r="L613" s="9"/>
      <c r="X613" s="9"/>
    </row>
    <row r="614">
      <c r="L614" s="9"/>
      <c r="X614" s="9"/>
    </row>
    <row r="615">
      <c r="L615" s="9"/>
      <c r="X615" s="9"/>
    </row>
    <row r="616">
      <c r="L616" s="9"/>
      <c r="X616" s="9"/>
    </row>
    <row r="617">
      <c r="L617" s="9"/>
      <c r="X617" s="9"/>
    </row>
    <row r="618">
      <c r="L618" s="9"/>
      <c r="X618" s="9"/>
    </row>
    <row r="619">
      <c r="L619" s="9"/>
      <c r="X619" s="9"/>
    </row>
    <row r="620">
      <c r="L620" s="9"/>
      <c r="X620" s="9"/>
    </row>
    <row r="621">
      <c r="L621" s="9"/>
      <c r="X621" s="9"/>
    </row>
    <row r="622">
      <c r="L622" s="9"/>
      <c r="X622" s="9"/>
    </row>
    <row r="623">
      <c r="L623" s="9"/>
      <c r="X623" s="9"/>
    </row>
    <row r="624">
      <c r="L624" s="9"/>
      <c r="X624" s="9"/>
    </row>
    <row r="625">
      <c r="L625" s="9"/>
      <c r="X625" s="9"/>
    </row>
    <row r="626">
      <c r="L626" s="9"/>
      <c r="X626" s="9"/>
    </row>
    <row r="627">
      <c r="L627" s="9"/>
      <c r="X627" s="9"/>
    </row>
    <row r="628">
      <c r="L628" s="9"/>
      <c r="X628" s="9"/>
    </row>
    <row r="629">
      <c r="L629" s="9"/>
      <c r="X629" s="9"/>
    </row>
    <row r="630">
      <c r="L630" s="9"/>
      <c r="X630" s="9"/>
    </row>
    <row r="631">
      <c r="L631" s="9"/>
      <c r="X631" s="9"/>
    </row>
    <row r="632">
      <c r="L632" s="9"/>
      <c r="X632" s="9"/>
    </row>
    <row r="633">
      <c r="L633" s="9"/>
      <c r="X633" s="9"/>
    </row>
    <row r="634">
      <c r="L634" s="9"/>
      <c r="X634" s="9"/>
    </row>
    <row r="635">
      <c r="L635" s="9"/>
      <c r="X635" s="9"/>
    </row>
    <row r="636">
      <c r="L636" s="9"/>
      <c r="X636" s="9"/>
    </row>
    <row r="637">
      <c r="L637" s="9"/>
      <c r="X637" s="9"/>
    </row>
    <row r="638">
      <c r="L638" s="9"/>
      <c r="X638" s="9"/>
    </row>
    <row r="639">
      <c r="L639" s="9"/>
      <c r="X639" s="9"/>
    </row>
    <row r="640">
      <c r="L640" s="9"/>
      <c r="X640" s="9"/>
    </row>
    <row r="641">
      <c r="L641" s="9"/>
      <c r="X641" s="9"/>
    </row>
    <row r="642">
      <c r="L642" s="9"/>
      <c r="X642" s="9"/>
    </row>
    <row r="643">
      <c r="L643" s="9"/>
      <c r="X643" s="9"/>
    </row>
    <row r="644">
      <c r="L644" s="9"/>
      <c r="X644" s="9"/>
    </row>
    <row r="645">
      <c r="L645" s="9"/>
      <c r="X645" s="9"/>
    </row>
    <row r="646">
      <c r="L646" s="9"/>
      <c r="X646" s="9"/>
    </row>
    <row r="647">
      <c r="L647" s="9"/>
      <c r="X647" s="9"/>
    </row>
    <row r="648">
      <c r="L648" s="9"/>
      <c r="X648" s="9"/>
    </row>
    <row r="649">
      <c r="L649" s="9"/>
      <c r="X649" s="9"/>
    </row>
    <row r="650">
      <c r="L650" s="9"/>
      <c r="X650" s="9"/>
    </row>
    <row r="651">
      <c r="L651" s="9"/>
      <c r="X651" s="9"/>
    </row>
    <row r="652">
      <c r="L652" s="9"/>
      <c r="X652" s="9"/>
    </row>
    <row r="653">
      <c r="L653" s="9"/>
      <c r="X653" s="9"/>
    </row>
    <row r="654">
      <c r="L654" s="9"/>
      <c r="X654" s="9"/>
    </row>
    <row r="655">
      <c r="L655" s="9"/>
      <c r="X655" s="9"/>
    </row>
    <row r="656">
      <c r="L656" s="9"/>
      <c r="X656" s="9"/>
    </row>
    <row r="657">
      <c r="L657" s="9"/>
      <c r="X657" s="9"/>
    </row>
    <row r="658">
      <c r="L658" s="9"/>
      <c r="X658" s="9"/>
    </row>
    <row r="659">
      <c r="L659" s="9"/>
      <c r="X659" s="9"/>
    </row>
    <row r="660">
      <c r="L660" s="9"/>
      <c r="X660" s="9"/>
    </row>
    <row r="661">
      <c r="L661" s="9"/>
      <c r="X661" s="9"/>
    </row>
    <row r="662">
      <c r="L662" s="9"/>
      <c r="X662" s="9"/>
    </row>
    <row r="663">
      <c r="L663" s="9"/>
      <c r="X663" s="9"/>
    </row>
    <row r="664">
      <c r="L664" s="9"/>
      <c r="X664" s="9"/>
    </row>
    <row r="665">
      <c r="L665" s="9"/>
      <c r="X665" s="9"/>
    </row>
    <row r="666">
      <c r="L666" s="9"/>
      <c r="X666" s="9"/>
    </row>
    <row r="667">
      <c r="L667" s="9"/>
      <c r="X667" s="9"/>
    </row>
    <row r="668">
      <c r="L668" s="9"/>
      <c r="X668" s="9"/>
    </row>
    <row r="669">
      <c r="L669" s="9"/>
      <c r="X669" s="9"/>
    </row>
    <row r="670">
      <c r="L670" s="9"/>
      <c r="X670" s="9"/>
    </row>
    <row r="671">
      <c r="L671" s="9"/>
      <c r="X671" s="9"/>
    </row>
    <row r="672">
      <c r="L672" s="9"/>
      <c r="X672" s="9"/>
    </row>
    <row r="673">
      <c r="L673" s="9"/>
      <c r="X673" s="9"/>
    </row>
    <row r="674">
      <c r="L674" s="9"/>
      <c r="X674" s="9"/>
    </row>
    <row r="675">
      <c r="L675" s="9"/>
      <c r="X675" s="9"/>
    </row>
    <row r="676">
      <c r="L676" s="9"/>
      <c r="X676" s="9"/>
    </row>
    <row r="677">
      <c r="L677" s="9"/>
      <c r="X677" s="9"/>
    </row>
    <row r="678">
      <c r="L678" s="9"/>
      <c r="X678" s="9"/>
    </row>
    <row r="679">
      <c r="L679" s="9"/>
      <c r="X679" s="9"/>
    </row>
    <row r="680">
      <c r="L680" s="9"/>
      <c r="X680" s="9"/>
    </row>
    <row r="681">
      <c r="L681" s="9"/>
      <c r="X681" s="9"/>
    </row>
    <row r="682">
      <c r="L682" s="9"/>
      <c r="X682" s="9"/>
    </row>
    <row r="683">
      <c r="L683" s="9"/>
      <c r="X683" s="9"/>
    </row>
    <row r="684">
      <c r="L684" s="9"/>
      <c r="X684" s="9"/>
    </row>
    <row r="685">
      <c r="L685" s="9"/>
      <c r="X685" s="9"/>
    </row>
    <row r="686">
      <c r="L686" s="9"/>
      <c r="X686" s="9"/>
    </row>
    <row r="687">
      <c r="L687" s="9"/>
      <c r="X687" s="9"/>
    </row>
    <row r="688">
      <c r="L688" s="9"/>
      <c r="X688" s="9"/>
    </row>
    <row r="689">
      <c r="L689" s="9"/>
      <c r="X689" s="9"/>
    </row>
    <row r="690">
      <c r="L690" s="9"/>
      <c r="X690" s="9"/>
    </row>
    <row r="691">
      <c r="L691" s="9"/>
      <c r="X691" s="9"/>
    </row>
    <row r="692">
      <c r="L692" s="9"/>
      <c r="X692" s="9"/>
    </row>
    <row r="693">
      <c r="L693" s="9"/>
      <c r="X693" s="9"/>
    </row>
    <row r="694">
      <c r="L694" s="9"/>
      <c r="X694" s="9"/>
    </row>
    <row r="695">
      <c r="L695" s="9"/>
      <c r="X695" s="9"/>
    </row>
    <row r="696">
      <c r="L696" s="9"/>
      <c r="X696" s="9"/>
    </row>
    <row r="697">
      <c r="L697" s="9"/>
      <c r="X697" s="9"/>
    </row>
    <row r="698">
      <c r="L698" s="9"/>
      <c r="X698" s="9"/>
    </row>
    <row r="699">
      <c r="L699" s="9"/>
      <c r="X699" s="9"/>
    </row>
    <row r="700">
      <c r="L700" s="9"/>
      <c r="X700" s="9"/>
    </row>
    <row r="701">
      <c r="L701" s="9"/>
      <c r="X701" s="9"/>
    </row>
    <row r="702">
      <c r="L702" s="9"/>
      <c r="X702" s="9"/>
    </row>
    <row r="703">
      <c r="L703" s="9"/>
      <c r="X703" s="9"/>
    </row>
    <row r="704">
      <c r="L704" s="9"/>
      <c r="X704" s="9"/>
    </row>
    <row r="705">
      <c r="L705" s="9"/>
      <c r="X705" s="9"/>
    </row>
    <row r="706">
      <c r="L706" s="9"/>
      <c r="X706" s="9"/>
    </row>
    <row r="707">
      <c r="L707" s="9"/>
      <c r="X707" s="9"/>
    </row>
    <row r="708">
      <c r="L708" s="9"/>
      <c r="X708" s="9"/>
    </row>
    <row r="709">
      <c r="L709" s="9"/>
      <c r="X709" s="9"/>
    </row>
    <row r="710">
      <c r="L710" s="9"/>
      <c r="X710" s="9"/>
    </row>
    <row r="711">
      <c r="L711" s="9"/>
      <c r="X711" s="9"/>
    </row>
    <row r="712">
      <c r="L712" s="9"/>
      <c r="X712" s="9"/>
    </row>
    <row r="713">
      <c r="L713" s="9"/>
      <c r="X713" s="9"/>
    </row>
    <row r="714">
      <c r="L714" s="9"/>
      <c r="X714" s="9"/>
    </row>
    <row r="715">
      <c r="L715" s="9"/>
      <c r="X715" s="9"/>
    </row>
    <row r="716">
      <c r="L716" s="9"/>
      <c r="X716" s="9"/>
    </row>
    <row r="717">
      <c r="L717" s="9"/>
      <c r="X717" s="9"/>
    </row>
    <row r="718">
      <c r="L718" s="9"/>
      <c r="X718" s="9"/>
    </row>
    <row r="719">
      <c r="L719" s="9"/>
      <c r="X719" s="9"/>
    </row>
    <row r="720">
      <c r="L720" s="9"/>
      <c r="X720" s="9"/>
    </row>
    <row r="721">
      <c r="L721" s="9"/>
      <c r="X721" s="9"/>
    </row>
    <row r="722">
      <c r="L722" s="9"/>
      <c r="X722" s="9"/>
    </row>
    <row r="723">
      <c r="L723" s="9"/>
      <c r="X723" s="9"/>
    </row>
    <row r="724">
      <c r="L724" s="9"/>
      <c r="X724" s="9"/>
    </row>
    <row r="725">
      <c r="L725" s="9"/>
      <c r="X725" s="9"/>
    </row>
    <row r="726">
      <c r="L726" s="9"/>
      <c r="X726" s="9"/>
    </row>
    <row r="727">
      <c r="L727" s="9"/>
      <c r="X727" s="9"/>
    </row>
    <row r="728">
      <c r="L728" s="9"/>
      <c r="X728" s="9"/>
    </row>
    <row r="729">
      <c r="L729" s="9"/>
      <c r="X729" s="9"/>
    </row>
    <row r="730">
      <c r="L730" s="9"/>
      <c r="X730" s="9"/>
    </row>
    <row r="731">
      <c r="L731" s="9"/>
      <c r="X731" s="9"/>
    </row>
    <row r="732">
      <c r="L732" s="9"/>
      <c r="X732" s="9"/>
    </row>
    <row r="733">
      <c r="L733" s="9"/>
      <c r="X733" s="9"/>
    </row>
    <row r="734">
      <c r="L734" s="9"/>
      <c r="X734" s="9"/>
    </row>
    <row r="735">
      <c r="L735" s="9"/>
      <c r="X735" s="9"/>
    </row>
    <row r="736">
      <c r="L736" s="9"/>
      <c r="X736" s="9"/>
    </row>
    <row r="737">
      <c r="L737" s="9"/>
      <c r="X737" s="9"/>
    </row>
    <row r="738">
      <c r="L738" s="9"/>
      <c r="X738" s="9"/>
    </row>
    <row r="739">
      <c r="L739" s="9"/>
      <c r="X739" s="9"/>
    </row>
    <row r="740">
      <c r="L740" s="9"/>
      <c r="X740" s="9"/>
    </row>
    <row r="741">
      <c r="L741" s="9"/>
      <c r="X741" s="9"/>
    </row>
    <row r="742">
      <c r="L742" s="9"/>
      <c r="X742" s="9"/>
    </row>
    <row r="743">
      <c r="L743" s="9"/>
      <c r="X743" s="9"/>
    </row>
    <row r="744">
      <c r="L744" s="9"/>
      <c r="X744" s="9"/>
    </row>
    <row r="745">
      <c r="L745" s="9"/>
      <c r="X745" s="9"/>
    </row>
    <row r="746">
      <c r="L746" s="9"/>
      <c r="X746" s="9"/>
    </row>
    <row r="747">
      <c r="L747" s="9"/>
      <c r="X747" s="9"/>
    </row>
    <row r="748">
      <c r="L748" s="9"/>
      <c r="X748" s="9"/>
    </row>
    <row r="749">
      <c r="L749" s="9"/>
      <c r="X749" s="9"/>
    </row>
    <row r="750">
      <c r="L750" s="9"/>
      <c r="X750" s="9"/>
    </row>
    <row r="751">
      <c r="L751" s="9"/>
      <c r="X751" s="9"/>
    </row>
    <row r="752">
      <c r="L752" s="9"/>
      <c r="X752" s="9"/>
    </row>
    <row r="753">
      <c r="L753" s="9"/>
      <c r="X753" s="9"/>
    </row>
    <row r="754">
      <c r="L754" s="9"/>
      <c r="X754" s="9"/>
    </row>
    <row r="755">
      <c r="L755" s="9"/>
      <c r="X755" s="9"/>
    </row>
    <row r="756">
      <c r="L756" s="9"/>
      <c r="X756" s="9"/>
    </row>
    <row r="757">
      <c r="L757" s="9"/>
      <c r="X757" s="9"/>
    </row>
    <row r="758">
      <c r="L758" s="9"/>
      <c r="X758" s="9"/>
    </row>
    <row r="759">
      <c r="L759" s="9"/>
      <c r="X759" s="9"/>
    </row>
    <row r="760">
      <c r="L760" s="9"/>
      <c r="X760" s="9"/>
    </row>
    <row r="761">
      <c r="L761" s="9"/>
      <c r="X761" s="9"/>
    </row>
    <row r="762">
      <c r="L762" s="9"/>
      <c r="X762" s="9"/>
    </row>
    <row r="763">
      <c r="L763" s="9"/>
      <c r="X763" s="9"/>
    </row>
    <row r="764">
      <c r="L764" s="9"/>
      <c r="X764" s="9"/>
    </row>
    <row r="765">
      <c r="L765" s="9"/>
      <c r="X765" s="9"/>
    </row>
    <row r="766">
      <c r="L766" s="9"/>
      <c r="X766" s="9"/>
    </row>
    <row r="767">
      <c r="L767" s="9"/>
      <c r="X767" s="9"/>
    </row>
    <row r="768">
      <c r="L768" s="9"/>
      <c r="X768" s="9"/>
    </row>
    <row r="769">
      <c r="L769" s="9"/>
      <c r="X769" s="9"/>
    </row>
    <row r="770">
      <c r="L770" s="9"/>
      <c r="X770" s="9"/>
    </row>
    <row r="771">
      <c r="L771" s="9"/>
      <c r="X771" s="9"/>
    </row>
    <row r="772">
      <c r="L772" s="9"/>
      <c r="X772" s="9"/>
    </row>
    <row r="773">
      <c r="L773" s="9"/>
      <c r="X773" s="9"/>
    </row>
    <row r="774">
      <c r="L774" s="9"/>
      <c r="X774" s="9"/>
    </row>
    <row r="775">
      <c r="L775" s="9"/>
      <c r="X775" s="9"/>
    </row>
    <row r="776">
      <c r="L776" s="9"/>
      <c r="X776" s="9"/>
    </row>
    <row r="777">
      <c r="L777" s="9"/>
      <c r="X777" s="9"/>
    </row>
    <row r="778">
      <c r="L778" s="9"/>
      <c r="X778" s="9"/>
    </row>
    <row r="779">
      <c r="L779" s="9"/>
      <c r="X779" s="9"/>
    </row>
    <row r="780">
      <c r="L780" s="9"/>
      <c r="X780" s="9"/>
    </row>
    <row r="781">
      <c r="L781" s="9"/>
      <c r="X781" s="9"/>
    </row>
    <row r="782">
      <c r="L782" s="9"/>
      <c r="X782" s="9"/>
    </row>
    <row r="783">
      <c r="L783" s="9"/>
      <c r="X783" s="9"/>
    </row>
    <row r="784">
      <c r="L784" s="9"/>
      <c r="X784" s="9"/>
    </row>
    <row r="785">
      <c r="L785" s="9"/>
      <c r="X785" s="9"/>
    </row>
    <row r="786">
      <c r="L786" s="9"/>
      <c r="X786" s="9"/>
    </row>
    <row r="787">
      <c r="L787" s="9"/>
      <c r="X787" s="9"/>
    </row>
    <row r="788">
      <c r="L788" s="9"/>
      <c r="X788" s="9"/>
    </row>
    <row r="789">
      <c r="L789" s="9"/>
      <c r="X789" s="9"/>
    </row>
    <row r="790">
      <c r="L790" s="9"/>
      <c r="X790" s="9"/>
    </row>
    <row r="791">
      <c r="L791" s="9"/>
      <c r="X791" s="9"/>
    </row>
    <row r="792">
      <c r="L792" s="9"/>
      <c r="X792" s="9"/>
    </row>
    <row r="793">
      <c r="L793" s="9"/>
      <c r="X793" s="9"/>
    </row>
    <row r="794">
      <c r="L794" s="9"/>
      <c r="X794" s="9"/>
    </row>
    <row r="795">
      <c r="L795" s="9"/>
      <c r="X795" s="9"/>
    </row>
    <row r="796">
      <c r="L796" s="9"/>
      <c r="X796" s="9"/>
    </row>
    <row r="797">
      <c r="L797" s="9"/>
      <c r="X797" s="9"/>
    </row>
    <row r="798">
      <c r="L798" s="9"/>
      <c r="X798" s="9"/>
    </row>
    <row r="799">
      <c r="L799" s="9"/>
      <c r="X799" s="9"/>
    </row>
    <row r="800">
      <c r="L800" s="9"/>
      <c r="X800" s="9"/>
    </row>
    <row r="801">
      <c r="L801" s="9"/>
      <c r="X801" s="9"/>
    </row>
    <row r="802">
      <c r="L802" s="9"/>
      <c r="X802" s="9"/>
    </row>
    <row r="803">
      <c r="L803" s="9"/>
      <c r="X803" s="9"/>
    </row>
    <row r="804">
      <c r="L804" s="9"/>
      <c r="X804" s="9"/>
    </row>
    <row r="805">
      <c r="L805" s="9"/>
      <c r="X805" s="9"/>
    </row>
    <row r="806">
      <c r="L806" s="9"/>
      <c r="X806" s="9"/>
    </row>
    <row r="807">
      <c r="L807" s="9"/>
      <c r="X807" s="9"/>
    </row>
    <row r="808">
      <c r="L808" s="9"/>
      <c r="X808" s="9"/>
    </row>
    <row r="809">
      <c r="L809" s="9"/>
      <c r="X809" s="9"/>
    </row>
    <row r="810">
      <c r="L810" s="9"/>
      <c r="X810" s="9"/>
    </row>
    <row r="811">
      <c r="L811" s="9"/>
      <c r="X811" s="9"/>
    </row>
    <row r="812">
      <c r="L812" s="9"/>
      <c r="X812" s="9"/>
    </row>
    <row r="813">
      <c r="L813" s="9"/>
      <c r="X813" s="9"/>
    </row>
    <row r="814">
      <c r="L814" s="9"/>
      <c r="X814" s="9"/>
    </row>
    <row r="815">
      <c r="L815" s="9"/>
      <c r="X815" s="9"/>
    </row>
    <row r="816">
      <c r="L816" s="9"/>
      <c r="X816" s="9"/>
    </row>
    <row r="817">
      <c r="L817" s="9"/>
      <c r="X817" s="9"/>
    </row>
    <row r="818">
      <c r="L818" s="9"/>
      <c r="X818" s="9"/>
    </row>
    <row r="819">
      <c r="L819" s="9"/>
      <c r="X819" s="9"/>
    </row>
    <row r="820">
      <c r="L820" s="9"/>
      <c r="X820" s="9"/>
    </row>
    <row r="821">
      <c r="L821" s="9"/>
      <c r="X821" s="9"/>
    </row>
    <row r="822">
      <c r="L822" s="9"/>
      <c r="X822" s="9"/>
    </row>
    <row r="823">
      <c r="L823" s="9"/>
      <c r="X823" s="9"/>
    </row>
    <row r="824">
      <c r="L824" s="9"/>
      <c r="X824" s="9"/>
    </row>
    <row r="825">
      <c r="L825" s="9"/>
      <c r="X825" s="9"/>
    </row>
    <row r="826">
      <c r="L826" s="9"/>
      <c r="X826" s="9"/>
    </row>
    <row r="827">
      <c r="L827" s="9"/>
      <c r="X827" s="9"/>
    </row>
    <row r="828">
      <c r="L828" s="9"/>
      <c r="X828" s="9"/>
    </row>
    <row r="829">
      <c r="L829" s="9"/>
      <c r="X829" s="9"/>
    </row>
    <row r="830">
      <c r="L830" s="9"/>
      <c r="X830" s="9"/>
    </row>
    <row r="831">
      <c r="L831" s="9"/>
      <c r="X831" s="9"/>
    </row>
    <row r="832">
      <c r="L832" s="9"/>
      <c r="X832" s="9"/>
    </row>
    <row r="833">
      <c r="L833" s="9"/>
      <c r="X833" s="9"/>
    </row>
    <row r="834">
      <c r="L834" s="9"/>
      <c r="X834" s="9"/>
    </row>
    <row r="835">
      <c r="L835" s="9"/>
      <c r="X835" s="9"/>
    </row>
    <row r="836">
      <c r="L836" s="9"/>
      <c r="X836" s="9"/>
    </row>
    <row r="837">
      <c r="L837" s="9"/>
      <c r="X837" s="9"/>
    </row>
    <row r="838">
      <c r="L838" s="9"/>
      <c r="X838" s="9"/>
    </row>
    <row r="839">
      <c r="L839" s="9"/>
      <c r="X839" s="9"/>
    </row>
    <row r="840">
      <c r="L840" s="9"/>
      <c r="X840" s="9"/>
    </row>
    <row r="841">
      <c r="L841" s="9"/>
      <c r="X841" s="9"/>
    </row>
    <row r="842">
      <c r="L842" s="9"/>
      <c r="X842" s="9"/>
    </row>
    <row r="843">
      <c r="L843" s="9"/>
      <c r="X843" s="9"/>
    </row>
    <row r="844">
      <c r="L844" s="9"/>
      <c r="X844" s="9"/>
    </row>
    <row r="845">
      <c r="L845" s="9"/>
      <c r="X845" s="9"/>
    </row>
    <row r="846">
      <c r="L846" s="9"/>
      <c r="X846" s="9"/>
    </row>
    <row r="847">
      <c r="L847" s="9"/>
      <c r="X847" s="9"/>
    </row>
    <row r="848">
      <c r="L848" s="9"/>
      <c r="X848" s="9"/>
    </row>
    <row r="849">
      <c r="L849" s="9"/>
      <c r="X849" s="9"/>
    </row>
    <row r="850">
      <c r="L850" s="9"/>
      <c r="X850" s="9"/>
    </row>
    <row r="851">
      <c r="L851" s="9"/>
      <c r="X851" s="9"/>
    </row>
    <row r="852">
      <c r="L852" s="9"/>
      <c r="X852" s="9"/>
    </row>
    <row r="853">
      <c r="L853" s="9"/>
      <c r="X853" s="9"/>
    </row>
    <row r="854">
      <c r="L854" s="9"/>
      <c r="X854" s="9"/>
    </row>
    <row r="855">
      <c r="L855" s="9"/>
      <c r="X855" s="9"/>
    </row>
    <row r="856">
      <c r="L856" s="9"/>
      <c r="X856" s="9"/>
    </row>
    <row r="857">
      <c r="L857" s="9"/>
      <c r="X857" s="9"/>
    </row>
    <row r="858">
      <c r="L858" s="9"/>
      <c r="X858" s="9"/>
    </row>
    <row r="859">
      <c r="L859" s="9"/>
      <c r="X859" s="9"/>
    </row>
    <row r="860">
      <c r="L860" s="9"/>
      <c r="X860" s="9"/>
    </row>
    <row r="861">
      <c r="L861" s="9"/>
      <c r="X861" s="9"/>
    </row>
    <row r="862">
      <c r="L862" s="9"/>
      <c r="X862" s="9"/>
    </row>
    <row r="863">
      <c r="L863" s="9"/>
      <c r="X863" s="9"/>
    </row>
    <row r="864">
      <c r="L864" s="9"/>
      <c r="X864" s="9"/>
    </row>
    <row r="865">
      <c r="L865" s="9"/>
      <c r="X865" s="9"/>
    </row>
    <row r="866">
      <c r="L866" s="9"/>
      <c r="X866" s="9"/>
    </row>
    <row r="867">
      <c r="L867" s="9"/>
      <c r="X867" s="9"/>
    </row>
    <row r="868">
      <c r="L868" s="9"/>
      <c r="X868" s="9"/>
    </row>
    <row r="869">
      <c r="L869" s="9"/>
      <c r="X869" s="9"/>
    </row>
    <row r="870">
      <c r="L870" s="9"/>
      <c r="X870" s="9"/>
    </row>
    <row r="871">
      <c r="L871" s="9"/>
      <c r="X871" s="9"/>
    </row>
    <row r="872">
      <c r="L872" s="9"/>
      <c r="X872" s="9"/>
    </row>
    <row r="873">
      <c r="L873" s="9"/>
      <c r="X873" s="9"/>
    </row>
    <row r="874">
      <c r="L874" s="9"/>
      <c r="X874" s="9"/>
    </row>
    <row r="875">
      <c r="L875" s="9"/>
      <c r="X875" s="9"/>
    </row>
    <row r="876">
      <c r="L876" s="9"/>
      <c r="X876" s="9"/>
    </row>
    <row r="877">
      <c r="L877" s="9"/>
      <c r="X877" s="9"/>
    </row>
    <row r="878">
      <c r="L878" s="9"/>
      <c r="X878" s="9"/>
    </row>
    <row r="879">
      <c r="L879" s="9"/>
      <c r="X879" s="9"/>
    </row>
    <row r="880">
      <c r="L880" s="9"/>
      <c r="X880" s="9"/>
    </row>
    <row r="881">
      <c r="L881" s="9"/>
      <c r="X881" s="9"/>
    </row>
    <row r="882">
      <c r="L882" s="9"/>
      <c r="X882" s="9"/>
    </row>
    <row r="883">
      <c r="L883" s="9"/>
      <c r="X883" s="9"/>
    </row>
    <row r="884">
      <c r="L884" s="9"/>
      <c r="X884" s="9"/>
    </row>
    <row r="885">
      <c r="L885" s="9"/>
      <c r="X885" s="9"/>
    </row>
    <row r="886">
      <c r="L886" s="9"/>
      <c r="X886" s="9"/>
    </row>
    <row r="887">
      <c r="L887" s="9"/>
      <c r="X887" s="9"/>
    </row>
    <row r="888">
      <c r="L888" s="9"/>
      <c r="X888" s="9"/>
    </row>
    <row r="889">
      <c r="L889" s="9"/>
      <c r="X889" s="9"/>
    </row>
    <row r="890">
      <c r="L890" s="9"/>
      <c r="X890" s="9"/>
    </row>
    <row r="891">
      <c r="L891" s="9"/>
      <c r="X891" s="9"/>
    </row>
    <row r="892">
      <c r="L892" s="9"/>
      <c r="X892" s="9"/>
    </row>
    <row r="893">
      <c r="L893" s="9"/>
      <c r="X893" s="9"/>
    </row>
    <row r="894">
      <c r="L894" s="9"/>
      <c r="X894" s="9"/>
    </row>
    <row r="895">
      <c r="L895" s="9"/>
      <c r="X895" s="9"/>
    </row>
    <row r="896">
      <c r="L896" s="9"/>
      <c r="X896" s="9"/>
    </row>
    <row r="897">
      <c r="L897" s="9"/>
      <c r="X897" s="9"/>
    </row>
    <row r="898">
      <c r="L898" s="9"/>
      <c r="X898" s="9"/>
    </row>
    <row r="899">
      <c r="L899" s="9"/>
      <c r="X899" s="9"/>
    </row>
    <row r="900">
      <c r="L900" s="9"/>
      <c r="X900" s="9"/>
    </row>
    <row r="901">
      <c r="L901" s="9"/>
      <c r="X901" s="9"/>
    </row>
    <row r="902">
      <c r="L902" s="9"/>
      <c r="X902" s="9"/>
    </row>
    <row r="903">
      <c r="L903" s="9"/>
      <c r="X903" s="9"/>
    </row>
    <row r="904">
      <c r="L904" s="9"/>
      <c r="X904" s="9"/>
    </row>
    <row r="905">
      <c r="L905" s="9"/>
      <c r="X905" s="9"/>
    </row>
    <row r="906">
      <c r="L906" s="9"/>
      <c r="X906" s="9"/>
    </row>
    <row r="907">
      <c r="L907" s="9"/>
      <c r="X907" s="9"/>
    </row>
    <row r="908">
      <c r="L908" s="9"/>
      <c r="X908" s="9"/>
    </row>
    <row r="909">
      <c r="L909" s="9"/>
      <c r="X909" s="9"/>
    </row>
    <row r="910">
      <c r="L910" s="9"/>
      <c r="X910" s="9"/>
    </row>
    <row r="911">
      <c r="L911" s="9"/>
      <c r="X911" s="9"/>
    </row>
    <row r="912">
      <c r="L912" s="9"/>
      <c r="X912" s="9"/>
    </row>
    <row r="913">
      <c r="L913" s="9"/>
      <c r="X913" s="9"/>
    </row>
    <row r="914">
      <c r="L914" s="9"/>
      <c r="X914" s="9"/>
    </row>
    <row r="915">
      <c r="L915" s="9"/>
      <c r="X915" s="9"/>
    </row>
    <row r="916">
      <c r="L916" s="9"/>
      <c r="X916" s="9"/>
    </row>
    <row r="917">
      <c r="L917" s="9"/>
      <c r="X917" s="9"/>
    </row>
    <row r="918">
      <c r="L918" s="9"/>
      <c r="X918" s="9"/>
    </row>
    <row r="919">
      <c r="L919" s="9"/>
      <c r="X919" s="9"/>
    </row>
    <row r="920">
      <c r="L920" s="9"/>
      <c r="X920" s="9"/>
    </row>
    <row r="921">
      <c r="L921" s="9"/>
      <c r="X921" s="9"/>
    </row>
    <row r="922">
      <c r="L922" s="9"/>
      <c r="X922" s="9"/>
    </row>
    <row r="923">
      <c r="L923" s="9"/>
      <c r="X923" s="9"/>
    </row>
    <row r="924">
      <c r="L924" s="9"/>
      <c r="X924" s="9"/>
    </row>
    <row r="925">
      <c r="L925" s="9"/>
      <c r="X925" s="9"/>
    </row>
    <row r="926">
      <c r="L926" s="9"/>
      <c r="X926" s="9"/>
    </row>
    <row r="927">
      <c r="L927" s="9"/>
      <c r="X927" s="9"/>
    </row>
    <row r="928">
      <c r="L928" s="9"/>
      <c r="X928" s="9"/>
    </row>
    <row r="929">
      <c r="L929" s="9"/>
      <c r="X929" s="9"/>
    </row>
    <row r="930">
      <c r="L930" s="9"/>
      <c r="X930" s="9"/>
    </row>
    <row r="931">
      <c r="L931" s="9"/>
      <c r="X931" s="9"/>
    </row>
    <row r="932">
      <c r="L932" s="9"/>
      <c r="X932" s="9"/>
    </row>
    <row r="933">
      <c r="L933" s="9"/>
      <c r="X933" s="9"/>
    </row>
    <row r="934">
      <c r="L934" s="9"/>
      <c r="X934" s="9"/>
    </row>
    <row r="935">
      <c r="L935" s="9"/>
      <c r="X935" s="9"/>
    </row>
    <row r="936">
      <c r="L936" s="9"/>
      <c r="X936" s="9"/>
    </row>
    <row r="937">
      <c r="L937" s="9"/>
      <c r="X937" s="9"/>
    </row>
    <row r="938">
      <c r="L938" s="9"/>
      <c r="X938" s="9"/>
    </row>
    <row r="939">
      <c r="L939" s="9"/>
      <c r="X939" s="9"/>
    </row>
    <row r="940">
      <c r="L940" s="9"/>
      <c r="X940" s="9"/>
    </row>
    <row r="941">
      <c r="L941" s="9"/>
      <c r="X941" s="9"/>
    </row>
    <row r="942">
      <c r="L942" s="9"/>
      <c r="X942" s="9"/>
    </row>
    <row r="943">
      <c r="L943" s="9"/>
      <c r="X943" s="9"/>
    </row>
    <row r="944">
      <c r="L944" s="9"/>
      <c r="X944" s="9"/>
    </row>
    <row r="945">
      <c r="L945" s="9"/>
      <c r="X945" s="9"/>
    </row>
    <row r="946">
      <c r="L946" s="9"/>
      <c r="X946" s="9"/>
    </row>
    <row r="947">
      <c r="L947" s="9"/>
      <c r="X947" s="9"/>
    </row>
    <row r="948">
      <c r="L948" s="9"/>
      <c r="X948" s="9"/>
    </row>
    <row r="949">
      <c r="L949" s="9"/>
      <c r="X949" s="9"/>
    </row>
    <row r="950">
      <c r="L950" s="9"/>
      <c r="X950" s="9"/>
    </row>
    <row r="951">
      <c r="L951" s="9"/>
      <c r="X951" s="9"/>
    </row>
    <row r="952">
      <c r="L952" s="9"/>
      <c r="X952" s="9"/>
    </row>
    <row r="953">
      <c r="L953" s="9"/>
      <c r="X953" s="9"/>
    </row>
    <row r="954">
      <c r="L954" s="9"/>
      <c r="X954" s="9"/>
    </row>
    <row r="955">
      <c r="L955" s="9"/>
      <c r="X955" s="9"/>
    </row>
    <row r="956">
      <c r="L956" s="9"/>
      <c r="X956" s="9"/>
    </row>
    <row r="957">
      <c r="L957" s="9"/>
      <c r="X957" s="9"/>
    </row>
    <row r="958">
      <c r="L958" s="9"/>
      <c r="X958" s="9"/>
    </row>
    <row r="959">
      <c r="L959" s="9"/>
      <c r="X959" s="9"/>
    </row>
    <row r="960">
      <c r="L960" s="9"/>
      <c r="X960" s="9"/>
    </row>
    <row r="961">
      <c r="L961" s="9"/>
      <c r="X961" s="9"/>
    </row>
    <row r="962">
      <c r="L962" s="9"/>
      <c r="X962" s="9"/>
    </row>
    <row r="963">
      <c r="L963" s="9"/>
      <c r="X963" s="9"/>
    </row>
    <row r="964">
      <c r="L964" s="9"/>
      <c r="X964" s="9"/>
    </row>
    <row r="965">
      <c r="L965" s="9"/>
      <c r="X965" s="9"/>
    </row>
    <row r="966">
      <c r="L966" s="9"/>
      <c r="X966" s="9"/>
    </row>
    <row r="967">
      <c r="L967" s="9"/>
      <c r="X967" s="9"/>
    </row>
    <row r="968">
      <c r="L968" s="9"/>
      <c r="X968" s="9"/>
    </row>
    <row r="969">
      <c r="L969" s="9"/>
      <c r="X969" s="9"/>
    </row>
    <row r="970">
      <c r="L970" s="9"/>
      <c r="X970" s="9"/>
    </row>
    <row r="971">
      <c r="L971" s="9"/>
      <c r="X971" s="9"/>
    </row>
    <row r="972">
      <c r="L972" s="9"/>
      <c r="X972" s="9"/>
    </row>
    <row r="973">
      <c r="L973" s="9"/>
      <c r="X973" s="9"/>
    </row>
    <row r="974">
      <c r="L974" s="9"/>
      <c r="X974" s="9"/>
    </row>
    <row r="975">
      <c r="L975" s="9"/>
      <c r="X975" s="9"/>
    </row>
    <row r="976">
      <c r="L976" s="9"/>
      <c r="X976" s="9"/>
    </row>
    <row r="977">
      <c r="L977" s="9"/>
      <c r="X977" s="9"/>
    </row>
    <row r="978">
      <c r="L978" s="9"/>
      <c r="X978" s="9"/>
    </row>
    <row r="979">
      <c r="L979" s="9"/>
      <c r="X979" s="9"/>
    </row>
    <row r="980">
      <c r="L980" s="9"/>
      <c r="X980" s="9"/>
    </row>
    <row r="981">
      <c r="L981" s="9"/>
      <c r="X981" s="9"/>
    </row>
    <row r="982">
      <c r="L982" s="9"/>
      <c r="X982" s="9"/>
    </row>
    <row r="983">
      <c r="L983" s="9"/>
      <c r="X983" s="9"/>
    </row>
    <row r="984">
      <c r="L984" s="9"/>
      <c r="X984" s="9"/>
    </row>
    <row r="985">
      <c r="L985" s="9"/>
      <c r="X985" s="9"/>
    </row>
    <row r="986">
      <c r="L986" s="9"/>
      <c r="X986" s="9"/>
    </row>
    <row r="987">
      <c r="L987" s="9"/>
      <c r="X987" s="9"/>
    </row>
    <row r="988">
      <c r="L988" s="9"/>
      <c r="X988" s="9"/>
    </row>
    <row r="989">
      <c r="L989" s="9"/>
      <c r="X989" s="9"/>
    </row>
    <row r="990">
      <c r="L990" s="9"/>
      <c r="X990" s="9"/>
    </row>
    <row r="991">
      <c r="L991" s="9"/>
      <c r="X991" s="9"/>
    </row>
    <row r="992">
      <c r="L992" s="9"/>
      <c r="X992" s="9"/>
    </row>
    <row r="993">
      <c r="L993" s="9"/>
      <c r="X993" s="9"/>
    </row>
    <row r="994">
      <c r="L994" s="9"/>
      <c r="X994" s="9"/>
    </row>
    <row r="995">
      <c r="L995" s="9"/>
      <c r="X995" s="9"/>
    </row>
    <row r="996">
      <c r="L996" s="9"/>
      <c r="X996" s="9"/>
    </row>
    <row r="997">
      <c r="L997" s="9"/>
      <c r="X997" s="9"/>
    </row>
    <row r="998">
      <c r="L998" s="9"/>
      <c r="X998" s="9"/>
    </row>
    <row r="999">
      <c r="L999" s="9"/>
      <c r="X999" s="9"/>
    </row>
    <row r="1000">
      <c r="L1000" s="9"/>
      <c r="X1000" s="9"/>
    </row>
  </sheetData>
  <mergeCells count="1">
    <mergeCell ref="B4:D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16.0"/>
    <col customWidth="1" min="2" max="2" width="32.75"/>
    <col customWidth="1" min="3" max="3" width="11.63"/>
    <col customWidth="1" min="4" max="4" width="7.13"/>
    <col customWidth="1" min="5" max="5" width="6.5"/>
    <col customWidth="1" min="6" max="6" width="6.75"/>
    <col collapsed="1" customWidth="1" min="7" max="7" width="6.38"/>
    <col hidden="1" min="8" max="10" width="12.63" outlineLevel="1"/>
    <col customWidth="1" min="11" max="11" width="13.5"/>
    <col collapsed="1" min="18" max="18" width="12.63"/>
    <col hidden="1" min="19" max="21" width="12.63" outlineLevel="1"/>
  </cols>
  <sheetData>
    <row r="1">
      <c r="A1" s="1"/>
      <c r="B1" s="1"/>
      <c r="C1" s="28"/>
      <c r="D1" s="1"/>
      <c r="E1" s="1"/>
      <c r="F1" s="28"/>
      <c r="G1" s="1"/>
      <c r="H1" s="1"/>
      <c r="I1" s="1"/>
      <c r="J1" s="1"/>
      <c r="K1" s="29"/>
      <c r="L1" s="30"/>
    </row>
    <row r="2">
      <c r="A2" s="31"/>
      <c r="B2" s="32" t="s">
        <v>58</v>
      </c>
      <c r="C2" s="33" t="s">
        <v>59</v>
      </c>
      <c r="D2" s="14" t="s">
        <v>60</v>
      </c>
      <c r="E2" s="14" t="s">
        <v>61</v>
      </c>
      <c r="F2" s="33" t="s">
        <v>62</v>
      </c>
      <c r="G2" s="14" t="s">
        <v>63</v>
      </c>
      <c r="H2" s="14" t="s">
        <v>43</v>
      </c>
      <c r="I2" s="14" t="s">
        <v>44</v>
      </c>
      <c r="J2" s="14" t="s">
        <v>45</v>
      </c>
      <c r="K2" s="34" t="s">
        <v>64</v>
      </c>
      <c r="L2" s="35" t="s">
        <v>47</v>
      </c>
    </row>
    <row r="3">
      <c r="A3" s="31"/>
      <c r="B3" s="36" t="s">
        <v>49</v>
      </c>
      <c r="C3" s="37">
        <v>318.7656355283308</v>
      </c>
      <c r="D3" s="22">
        <v>195.0</v>
      </c>
      <c r="E3" s="22">
        <v>65.0</v>
      </c>
      <c r="F3" s="38">
        <v>170.0</v>
      </c>
      <c r="G3" s="22">
        <v>105.0</v>
      </c>
      <c r="H3" s="25">
        <v>90.0</v>
      </c>
      <c r="I3" s="25">
        <v>105.0</v>
      </c>
      <c r="J3" s="25">
        <v>97.30738791946321</v>
      </c>
      <c r="K3" s="39">
        <v>3.275862628150683</v>
      </c>
      <c r="L3" s="40">
        <f>K3/K3</f>
        <v>1</v>
      </c>
    </row>
    <row r="4">
      <c r="A4" s="31"/>
      <c r="B4" s="32" t="s">
        <v>65</v>
      </c>
      <c r="C4" s="37">
        <v>318.7656355283308</v>
      </c>
      <c r="D4" s="22">
        <v>140.0</v>
      </c>
      <c r="E4" s="24">
        <v>55.0</v>
      </c>
      <c r="F4" s="41">
        <v>130.0</v>
      </c>
      <c r="G4" s="22">
        <v>105.0</v>
      </c>
      <c r="H4" s="42">
        <v>35.0</v>
      </c>
      <c r="I4" s="42">
        <v>75.0</v>
      </c>
      <c r="J4" s="42">
        <v>52.483792043957145</v>
      </c>
      <c r="K4" s="43">
        <v>6.073601451308103</v>
      </c>
      <c r="L4" s="44">
        <v>1.9432635277556327</v>
      </c>
    </row>
    <row r="5">
      <c r="A5" s="31"/>
      <c r="B5" s="32" t="s">
        <v>66</v>
      </c>
      <c r="C5" s="37">
        <v>318.7656355283308</v>
      </c>
      <c r="D5" s="22">
        <v>140.0</v>
      </c>
      <c r="E5" s="24">
        <v>55.0</v>
      </c>
      <c r="F5" s="45">
        <v>90.0001</v>
      </c>
      <c r="G5" s="22">
        <v>105.0</v>
      </c>
      <c r="H5" s="42">
        <v>35.0</v>
      </c>
      <c r="I5" s="42">
        <v>35.0001</v>
      </c>
      <c r="J5" s="42">
        <v>35.00005000059214</v>
      </c>
      <c r="K5" s="43">
        <v>9.107576575545973</v>
      </c>
      <c r="L5" s="44">
        <v>2.9139912336013145</v>
      </c>
    </row>
    <row r="6">
      <c r="A6" s="31"/>
      <c r="B6" s="32" t="s">
        <v>67</v>
      </c>
      <c r="C6" s="37">
        <v>318.7656355283308</v>
      </c>
      <c r="D6" s="22">
        <v>140.0</v>
      </c>
      <c r="E6" s="46">
        <v>70.0</v>
      </c>
      <c r="F6" s="41">
        <v>130.0</v>
      </c>
      <c r="G6" s="22">
        <v>105.0</v>
      </c>
      <c r="H6" s="42">
        <v>35.0</v>
      </c>
      <c r="I6" s="42">
        <v>60.0</v>
      </c>
      <c r="J6" s="42">
        <v>46.38249036128464</v>
      </c>
      <c r="K6" s="43">
        <v>6.872542484144055</v>
      </c>
      <c r="L6" s="44">
        <v>2.1988866506069256</v>
      </c>
    </row>
    <row r="7">
      <c r="A7" s="31"/>
      <c r="B7" s="32" t="s">
        <v>68</v>
      </c>
      <c r="C7" s="37">
        <v>318.7656355283308</v>
      </c>
      <c r="D7" s="22">
        <v>140.0</v>
      </c>
      <c r="E7" s="46">
        <v>70.0</v>
      </c>
      <c r="F7" s="45">
        <v>90.0</v>
      </c>
      <c r="G7" s="22">
        <v>105.0</v>
      </c>
      <c r="H7" s="42">
        <v>35.0</v>
      </c>
      <c r="I7" s="42">
        <v>20.0</v>
      </c>
      <c r="J7" s="42">
        <v>26.80410439337165</v>
      </c>
      <c r="K7" s="43">
        <v>11.892418819528173</v>
      </c>
      <c r="L7" s="44">
        <v>3.805008269649707</v>
      </c>
    </row>
    <row r="8">
      <c r="A8" s="31"/>
      <c r="B8" s="31"/>
      <c r="C8" s="47"/>
      <c r="D8" s="1"/>
      <c r="E8" s="1"/>
      <c r="F8" s="28"/>
      <c r="G8" s="1"/>
      <c r="K8" s="48"/>
      <c r="L8" s="49"/>
    </row>
    <row r="9">
      <c r="A9" s="31"/>
      <c r="B9" s="32" t="s">
        <v>58</v>
      </c>
      <c r="C9" s="33" t="s">
        <v>59</v>
      </c>
      <c r="D9" s="14" t="s">
        <v>60</v>
      </c>
      <c r="E9" s="14" t="s">
        <v>61</v>
      </c>
      <c r="F9" s="33" t="s">
        <v>62</v>
      </c>
      <c r="G9" s="14" t="s">
        <v>63</v>
      </c>
      <c r="H9" s="14" t="s">
        <v>43</v>
      </c>
      <c r="I9" s="14" t="s">
        <v>44</v>
      </c>
      <c r="J9" s="14" t="s">
        <v>45</v>
      </c>
      <c r="K9" s="34" t="s">
        <v>64</v>
      </c>
      <c r="L9" s="35" t="s">
        <v>47</v>
      </c>
    </row>
    <row r="10">
      <c r="A10" s="31"/>
      <c r="B10" s="36" t="s">
        <v>49</v>
      </c>
      <c r="C10" s="37">
        <v>318.7656355283308</v>
      </c>
      <c r="D10" s="22">
        <v>195.0</v>
      </c>
      <c r="E10" s="22">
        <v>65.0</v>
      </c>
      <c r="F10" s="38">
        <v>170.0</v>
      </c>
      <c r="G10" s="22">
        <v>105.0</v>
      </c>
      <c r="H10" s="25">
        <v>90.0</v>
      </c>
      <c r="I10" s="25">
        <v>105.0</v>
      </c>
      <c r="J10" s="25">
        <v>97.30738791946321</v>
      </c>
      <c r="K10" s="39">
        <v>3.275862628150683</v>
      </c>
      <c r="L10" s="40">
        <f>K10/K10</f>
        <v>1</v>
      </c>
      <c r="W10" s="9"/>
    </row>
    <row r="11">
      <c r="A11" s="31"/>
      <c r="B11" s="32" t="s">
        <v>69</v>
      </c>
      <c r="C11" s="37">
        <v>318.7656355283308</v>
      </c>
      <c r="D11" s="22">
        <v>140.0</v>
      </c>
      <c r="E11" s="22">
        <v>65.0</v>
      </c>
      <c r="F11" s="41">
        <v>130.0</v>
      </c>
      <c r="G11" s="24">
        <v>95.0</v>
      </c>
      <c r="H11" s="42">
        <v>45.0</v>
      </c>
      <c r="I11" s="42">
        <v>65.0</v>
      </c>
      <c r="J11" s="42">
        <v>54.388502165081654</v>
      </c>
      <c r="K11" s="43">
        <v>5.860901161808125</v>
      </c>
      <c r="L11" s="44">
        <v>1.8752095538091944</v>
      </c>
    </row>
    <row r="12">
      <c r="A12" s="31"/>
      <c r="B12" s="32" t="s">
        <v>70</v>
      </c>
      <c r="C12" s="37">
        <v>318.7656355283308</v>
      </c>
      <c r="D12" s="22">
        <v>140.0</v>
      </c>
      <c r="E12" s="22">
        <v>65.0</v>
      </c>
      <c r="F12" s="41">
        <v>130.0</v>
      </c>
      <c r="G12" s="46">
        <v>110.0</v>
      </c>
      <c r="H12" s="42">
        <v>30.0</v>
      </c>
      <c r="I12" s="42">
        <v>65.0</v>
      </c>
      <c r="J12" s="42">
        <v>45.26701723940676</v>
      </c>
      <c r="K12" s="43">
        <v>7.041896174480709</v>
      </c>
      <c r="L12" s="44">
        <v>2.2530717749290297</v>
      </c>
    </row>
    <row r="13">
      <c r="A13" s="31"/>
      <c r="B13" s="32" t="s">
        <v>71</v>
      </c>
      <c r="C13" s="37">
        <v>318.7656355283308</v>
      </c>
      <c r="D13" s="22">
        <v>140.0</v>
      </c>
      <c r="E13" s="22">
        <v>65.0</v>
      </c>
      <c r="F13" s="45">
        <v>90.0</v>
      </c>
      <c r="G13" s="24">
        <v>95.0</v>
      </c>
      <c r="H13" s="42">
        <v>45.0</v>
      </c>
      <c r="I13" s="42">
        <v>25.0</v>
      </c>
      <c r="J13" s="42">
        <v>34.02595056036273</v>
      </c>
      <c r="K13" s="43">
        <v>9.3683094896301</v>
      </c>
      <c r="L13" s="44">
        <v>2.9974133623806076</v>
      </c>
    </row>
    <row r="14">
      <c r="A14" s="31"/>
      <c r="B14" s="32" t="s">
        <v>72</v>
      </c>
      <c r="C14" s="37">
        <v>318.7656355283308</v>
      </c>
      <c r="D14" s="22">
        <v>140.0</v>
      </c>
      <c r="E14" s="22">
        <v>65.0</v>
      </c>
      <c r="F14" s="45">
        <v>90.0</v>
      </c>
      <c r="G14" s="46">
        <v>110.0</v>
      </c>
      <c r="H14" s="42">
        <v>30.0</v>
      </c>
      <c r="I14" s="42">
        <v>25.0</v>
      </c>
      <c r="J14" s="42">
        <v>27.424074738735392</v>
      </c>
      <c r="K14" s="43">
        <v>11.623569384387919</v>
      </c>
      <c r="L14" s="44">
        <v>3.7189892402559956</v>
      </c>
    </row>
    <row r="15">
      <c r="C15" s="47"/>
      <c r="F15" s="47"/>
      <c r="K15" s="48"/>
      <c r="L15" s="48"/>
    </row>
    <row r="16">
      <c r="C16" s="47"/>
      <c r="F16" s="47"/>
      <c r="K16" s="48"/>
      <c r="L16" s="48"/>
    </row>
    <row r="17">
      <c r="C17" s="47"/>
      <c r="F17" s="47"/>
      <c r="K17" s="48"/>
      <c r="L17" s="48"/>
    </row>
    <row r="18">
      <c r="C18" s="47"/>
      <c r="F18" s="47"/>
      <c r="K18" s="48"/>
      <c r="L18" s="48"/>
    </row>
    <row r="19">
      <c r="C19" s="47"/>
      <c r="F19" s="47"/>
      <c r="K19" s="48"/>
      <c r="L19" s="48"/>
    </row>
    <row r="20">
      <c r="C20" s="47"/>
      <c r="F20" s="47"/>
      <c r="K20" s="48"/>
      <c r="L20" s="48"/>
    </row>
    <row r="21">
      <c r="C21" s="47"/>
      <c r="F21" s="47"/>
      <c r="K21" s="48"/>
      <c r="L21" s="48"/>
    </row>
    <row r="22">
      <c r="C22" s="47"/>
      <c r="F22" s="47"/>
      <c r="K22" s="48"/>
      <c r="L22" s="48"/>
    </row>
    <row r="23">
      <c r="C23" s="47"/>
      <c r="F23" s="47"/>
      <c r="K23" s="48"/>
      <c r="L23" s="48"/>
    </row>
    <row r="24">
      <c r="C24" s="47"/>
      <c r="F24" s="47"/>
      <c r="K24" s="48"/>
      <c r="L24" s="48"/>
    </row>
    <row r="25">
      <c r="C25" s="47"/>
      <c r="F25" s="47"/>
      <c r="K25" s="48"/>
      <c r="L25" s="48"/>
    </row>
    <row r="26">
      <c r="C26" s="47"/>
      <c r="F26" s="47"/>
      <c r="K26" s="48"/>
      <c r="L26" s="48"/>
    </row>
    <row r="27">
      <c r="C27" s="47"/>
      <c r="F27" s="47"/>
      <c r="K27" s="48"/>
      <c r="L27" s="48"/>
    </row>
    <row r="28">
      <c r="C28" s="47"/>
      <c r="F28" s="47"/>
      <c r="K28" s="48"/>
      <c r="L28" s="48"/>
    </row>
    <row r="29">
      <c r="C29" s="47"/>
      <c r="F29" s="47"/>
      <c r="K29" s="48"/>
      <c r="L29" s="48"/>
    </row>
    <row r="30">
      <c r="C30" s="47"/>
      <c r="F30" s="47"/>
      <c r="K30" s="48"/>
      <c r="L30" s="48"/>
    </row>
    <row r="31">
      <c r="C31" s="47"/>
      <c r="F31" s="47"/>
      <c r="K31" s="48"/>
      <c r="L31" s="48"/>
    </row>
    <row r="32">
      <c r="C32" s="47"/>
      <c r="F32" s="47"/>
      <c r="K32" s="48"/>
      <c r="L32" s="48"/>
    </row>
    <row r="33">
      <c r="C33" s="47"/>
      <c r="F33" s="47"/>
      <c r="K33" s="48"/>
      <c r="L33" s="48"/>
    </row>
    <row r="34">
      <c r="C34" s="47"/>
      <c r="F34" s="47"/>
      <c r="K34" s="48"/>
      <c r="L34" s="48"/>
    </row>
    <row r="35">
      <c r="C35" s="47"/>
      <c r="F35" s="47"/>
      <c r="K35" s="48"/>
      <c r="L35" s="48"/>
    </row>
    <row r="36">
      <c r="C36" s="47"/>
      <c r="F36" s="47"/>
      <c r="K36" s="48"/>
      <c r="L36" s="48"/>
    </row>
    <row r="37">
      <c r="C37" s="47"/>
      <c r="F37" s="47"/>
      <c r="K37" s="48"/>
      <c r="L37" s="48"/>
    </row>
    <row r="38">
      <c r="C38" s="47"/>
      <c r="F38" s="47"/>
      <c r="K38" s="48"/>
      <c r="L38" s="48"/>
    </row>
    <row r="39">
      <c r="C39" s="47"/>
      <c r="F39" s="47"/>
      <c r="K39" s="48"/>
      <c r="L39" s="48"/>
    </row>
    <row r="40">
      <c r="C40" s="47"/>
      <c r="F40" s="47"/>
      <c r="K40" s="48"/>
      <c r="L40" s="48"/>
    </row>
    <row r="41">
      <c r="C41" s="47"/>
      <c r="F41" s="47"/>
      <c r="K41" s="48"/>
      <c r="L41" s="48"/>
    </row>
    <row r="42">
      <c r="C42" s="47"/>
      <c r="F42" s="47"/>
      <c r="K42" s="48"/>
      <c r="L42" s="48"/>
    </row>
    <row r="43">
      <c r="C43" s="47"/>
      <c r="F43" s="47"/>
      <c r="K43" s="48"/>
      <c r="L43" s="48"/>
    </row>
    <row r="44">
      <c r="C44" s="47"/>
      <c r="F44" s="47"/>
      <c r="K44" s="48"/>
      <c r="L44" s="48"/>
    </row>
    <row r="45">
      <c r="C45" s="47"/>
      <c r="F45" s="47"/>
      <c r="K45" s="48"/>
      <c r="L45" s="48"/>
    </row>
    <row r="46">
      <c r="C46" s="47"/>
      <c r="F46" s="47"/>
      <c r="K46" s="48"/>
      <c r="L46" s="48"/>
    </row>
    <row r="47">
      <c r="C47" s="47"/>
      <c r="F47" s="47"/>
      <c r="K47" s="48"/>
      <c r="L47" s="48"/>
    </row>
    <row r="48">
      <c r="C48" s="47"/>
      <c r="F48" s="47"/>
      <c r="K48" s="48"/>
      <c r="L48" s="48"/>
    </row>
    <row r="49">
      <c r="C49" s="47"/>
      <c r="F49" s="47"/>
      <c r="K49" s="48"/>
      <c r="L49" s="48"/>
    </row>
    <row r="50">
      <c r="C50" s="47"/>
      <c r="F50" s="47"/>
      <c r="K50" s="48"/>
      <c r="L50" s="48"/>
    </row>
    <row r="51">
      <c r="C51" s="47"/>
      <c r="F51" s="47"/>
      <c r="K51" s="48"/>
      <c r="L51" s="48"/>
    </row>
    <row r="52">
      <c r="C52" s="47"/>
      <c r="F52" s="47"/>
      <c r="K52" s="48"/>
      <c r="L52" s="48"/>
    </row>
    <row r="53">
      <c r="C53" s="47"/>
      <c r="F53" s="47"/>
      <c r="K53" s="48"/>
      <c r="L53" s="48"/>
    </row>
    <row r="54">
      <c r="C54" s="47"/>
      <c r="F54" s="47"/>
      <c r="K54" s="48"/>
      <c r="L54" s="48"/>
    </row>
    <row r="55">
      <c r="C55" s="47"/>
      <c r="F55" s="47"/>
      <c r="K55" s="48"/>
      <c r="L55" s="48"/>
    </row>
    <row r="56">
      <c r="C56" s="47"/>
      <c r="F56" s="47"/>
      <c r="K56" s="48"/>
      <c r="L56" s="48"/>
    </row>
    <row r="57">
      <c r="C57" s="47"/>
      <c r="F57" s="47"/>
      <c r="K57" s="48"/>
      <c r="L57" s="48"/>
    </row>
    <row r="58">
      <c r="C58" s="47"/>
      <c r="F58" s="47"/>
      <c r="K58" s="48"/>
      <c r="L58" s="48"/>
    </row>
    <row r="59">
      <c r="C59" s="47"/>
      <c r="F59" s="47"/>
      <c r="K59" s="48"/>
      <c r="L59" s="48"/>
    </row>
    <row r="60">
      <c r="C60" s="47"/>
      <c r="F60" s="47"/>
      <c r="K60" s="48"/>
      <c r="L60" s="48"/>
    </row>
    <row r="61">
      <c r="C61" s="47"/>
      <c r="F61" s="47"/>
      <c r="K61" s="48"/>
      <c r="L61" s="48"/>
    </row>
    <row r="62">
      <c r="C62" s="47"/>
      <c r="F62" s="47"/>
      <c r="K62" s="48"/>
      <c r="L62" s="48"/>
    </row>
    <row r="63">
      <c r="C63" s="47"/>
      <c r="F63" s="47"/>
      <c r="K63" s="48"/>
      <c r="L63" s="48"/>
    </row>
    <row r="64">
      <c r="C64" s="47"/>
      <c r="F64" s="47"/>
      <c r="K64" s="48"/>
      <c r="L64" s="48"/>
    </row>
    <row r="65">
      <c r="C65" s="47"/>
      <c r="F65" s="47"/>
      <c r="K65" s="48"/>
      <c r="L65" s="48"/>
    </row>
    <row r="66">
      <c r="C66" s="47"/>
      <c r="F66" s="47"/>
      <c r="K66" s="48"/>
      <c r="L66" s="48"/>
    </row>
    <row r="67">
      <c r="C67" s="47"/>
      <c r="F67" s="47"/>
      <c r="K67" s="48"/>
      <c r="L67" s="48"/>
    </row>
    <row r="68">
      <c r="C68" s="47"/>
      <c r="F68" s="47"/>
      <c r="K68" s="48"/>
      <c r="L68" s="48"/>
    </row>
    <row r="69">
      <c r="C69" s="47"/>
      <c r="F69" s="47"/>
      <c r="K69" s="48"/>
      <c r="L69" s="48"/>
    </row>
    <row r="70">
      <c r="C70" s="47"/>
      <c r="F70" s="47"/>
      <c r="K70" s="48"/>
      <c r="L70" s="48"/>
    </row>
    <row r="71">
      <c r="C71" s="47"/>
      <c r="F71" s="47"/>
      <c r="K71" s="48"/>
      <c r="L71" s="48"/>
    </row>
    <row r="72">
      <c r="C72" s="47"/>
      <c r="F72" s="47"/>
      <c r="K72" s="48"/>
      <c r="L72" s="48"/>
    </row>
    <row r="73">
      <c r="C73" s="47"/>
      <c r="F73" s="47"/>
      <c r="K73" s="48"/>
      <c r="L73" s="48"/>
    </row>
    <row r="74">
      <c r="C74" s="47"/>
      <c r="F74" s="47"/>
      <c r="K74" s="48"/>
      <c r="L74" s="48"/>
    </row>
    <row r="75">
      <c r="C75" s="47"/>
      <c r="F75" s="47"/>
      <c r="K75" s="48"/>
      <c r="L75" s="48"/>
    </row>
    <row r="76">
      <c r="C76" s="47"/>
      <c r="F76" s="47"/>
      <c r="K76" s="48"/>
      <c r="L76" s="48"/>
    </row>
    <row r="77">
      <c r="C77" s="47"/>
      <c r="F77" s="47"/>
      <c r="K77" s="48"/>
      <c r="L77" s="48"/>
    </row>
    <row r="78">
      <c r="C78" s="47"/>
      <c r="F78" s="47"/>
      <c r="K78" s="48"/>
      <c r="L78" s="48"/>
    </row>
    <row r="79">
      <c r="C79" s="47"/>
      <c r="F79" s="47"/>
      <c r="K79" s="48"/>
      <c r="L79" s="48"/>
    </row>
    <row r="80">
      <c r="C80" s="47"/>
      <c r="F80" s="47"/>
      <c r="K80" s="48"/>
      <c r="L80" s="48"/>
    </row>
    <row r="81">
      <c r="C81" s="47"/>
      <c r="F81" s="47"/>
      <c r="K81" s="48"/>
      <c r="L81" s="48"/>
    </row>
    <row r="82">
      <c r="C82" s="47"/>
      <c r="F82" s="47"/>
      <c r="K82" s="48"/>
      <c r="L82" s="48"/>
    </row>
    <row r="83">
      <c r="C83" s="47"/>
      <c r="F83" s="47"/>
      <c r="K83" s="48"/>
      <c r="L83" s="48"/>
    </row>
    <row r="84">
      <c r="C84" s="47"/>
      <c r="F84" s="47"/>
      <c r="K84" s="48"/>
      <c r="L84" s="48"/>
    </row>
    <row r="85">
      <c r="C85" s="47"/>
      <c r="F85" s="47"/>
      <c r="K85" s="48"/>
      <c r="L85" s="48"/>
    </row>
    <row r="86">
      <c r="C86" s="47"/>
      <c r="F86" s="47"/>
      <c r="K86" s="48"/>
      <c r="L86" s="48"/>
    </row>
    <row r="87">
      <c r="C87" s="47"/>
      <c r="F87" s="47"/>
      <c r="K87" s="48"/>
      <c r="L87" s="48"/>
    </row>
    <row r="88">
      <c r="C88" s="47"/>
      <c r="F88" s="47"/>
      <c r="K88" s="48"/>
      <c r="L88" s="48"/>
    </row>
    <row r="89">
      <c r="C89" s="47"/>
      <c r="F89" s="47"/>
      <c r="K89" s="48"/>
      <c r="L89" s="48"/>
    </row>
    <row r="90">
      <c r="C90" s="47"/>
      <c r="F90" s="47"/>
      <c r="K90" s="48"/>
      <c r="L90" s="48"/>
    </row>
    <row r="91">
      <c r="C91" s="47"/>
      <c r="F91" s="47"/>
      <c r="K91" s="48"/>
      <c r="L91" s="48"/>
    </row>
    <row r="92">
      <c r="C92" s="47"/>
      <c r="F92" s="47"/>
      <c r="K92" s="48"/>
      <c r="L92" s="48"/>
    </row>
    <row r="93">
      <c r="C93" s="47"/>
      <c r="F93" s="47"/>
      <c r="K93" s="48"/>
      <c r="L93" s="48"/>
    </row>
    <row r="94">
      <c r="C94" s="47"/>
      <c r="F94" s="47"/>
      <c r="K94" s="48"/>
      <c r="L94" s="48"/>
    </row>
    <row r="95">
      <c r="C95" s="47"/>
      <c r="F95" s="47"/>
      <c r="K95" s="48"/>
      <c r="L95" s="48"/>
    </row>
    <row r="96">
      <c r="C96" s="47"/>
      <c r="F96" s="47"/>
      <c r="K96" s="48"/>
      <c r="L96" s="48"/>
    </row>
    <row r="97">
      <c r="C97" s="47"/>
      <c r="F97" s="47"/>
      <c r="K97" s="48"/>
      <c r="L97" s="48"/>
    </row>
    <row r="98">
      <c r="C98" s="47"/>
      <c r="F98" s="47"/>
      <c r="K98" s="48"/>
      <c r="L98" s="48"/>
    </row>
    <row r="99">
      <c r="C99" s="47"/>
      <c r="F99" s="47"/>
      <c r="K99" s="48"/>
      <c r="L99" s="48"/>
    </row>
    <row r="100">
      <c r="C100" s="47"/>
      <c r="F100" s="47"/>
      <c r="K100" s="48"/>
      <c r="L100" s="48"/>
    </row>
    <row r="101">
      <c r="C101" s="47"/>
      <c r="F101" s="47"/>
      <c r="K101" s="48"/>
      <c r="L101" s="48"/>
    </row>
    <row r="102">
      <c r="C102" s="47"/>
      <c r="F102" s="47"/>
      <c r="K102" s="48"/>
      <c r="L102" s="48"/>
    </row>
    <row r="103">
      <c r="C103" s="47"/>
      <c r="F103" s="47"/>
      <c r="K103" s="48"/>
      <c r="L103" s="48"/>
    </row>
    <row r="104">
      <c r="C104" s="47"/>
      <c r="F104" s="47"/>
      <c r="K104" s="48"/>
      <c r="L104" s="48"/>
    </row>
    <row r="105">
      <c r="C105" s="47"/>
      <c r="F105" s="47"/>
      <c r="K105" s="48"/>
      <c r="L105" s="48"/>
    </row>
    <row r="106">
      <c r="C106" s="47"/>
      <c r="F106" s="47"/>
      <c r="K106" s="48"/>
      <c r="L106" s="48"/>
    </row>
    <row r="107">
      <c r="C107" s="47"/>
      <c r="F107" s="47"/>
      <c r="K107" s="48"/>
      <c r="L107" s="48"/>
    </row>
    <row r="108">
      <c r="C108" s="47"/>
      <c r="F108" s="47"/>
      <c r="K108" s="48"/>
      <c r="L108" s="48"/>
    </row>
    <row r="109">
      <c r="C109" s="47"/>
      <c r="F109" s="47"/>
      <c r="K109" s="48"/>
      <c r="L109" s="48"/>
    </row>
    <row r="110">
      <c r="C110" s="47"/>
      <c r="F110" s="47"/>
      <c r="K110" s="48"/>
      <c r="L110" s="48"/>
    </row>
    <row r="111">
      <c r="C111" s="47"/>
      <c r="F111" s="47"/>
      <c r="K111" s="48"/>
      <c r="L111" s="48"/>
    </row>
    <row r="112">
      <c r="C112" s="47"/>
      <c r="F112" s="47"/>
      <c r="K112" s="48"/>
      <c r="L112" s="48"/>
    </row>
    <row r="113">
      <c r="C113" s="47"/>
      <c r="F113" s="47"/>
      <c r="K113" s="48"/>
      <c r="L113" s="48"/>
    </row>
    <row r="114">
      <c r="C114" s="47"/>
      <c r="F114" s="47"/>
      <c r="K114" s="48"/>
      <c r="L114" s="48"/>
    </row>
    <row r="115">
      <c r="C115" s="47"/>
      <c r="F115" s="47"/>
      <c r="K115" s="48"/>
      <c r="L115" s="48"/>
    </row>
    <row r="116">
      <c r="C116" s="47"/>
      <c r="F116" s="47"/>
      <c r="K116" s="48"/>
      <c r="L116" s="48"/>
    </row>
    <row r="117">
      <c r="C117" s="47"/>
      <c r="F117" s="47"/>
      <c r="K117" s="48"/>
      <c r="L117" s="48"/>
    </row>
    <row r="118">
      <c r="C118" s="47"/>
      <c r="F118" s="47"/>
      <c r="K118" s="48"/>
      <c r="L118" s="48"/>
    </row>
    <row r="119">
      <c r="C119" s="47"/>
      <c r="F119" s="47"/>
      <c r="K119" s="48"/>
      <c r="L119" s="48"/>
    </row>
    <row r="120">
      <c r="C120" s="47"/>
      <c r="F120" s="47"/>
      <c r="K120" s="48"/>
      <c r="L120" s="48"/>
    </row>
    <row r="121">
      <c r="C121" s="47"/>
      <c r="F121" s="47"/>
      <c r="K121" s="48"/>
      <c r="L121" s="48"/>
    </row>
    <row r="122">
      <c r="C122" s="47"/>
      <c r="F122" s="47"/>
      <c r="K122" s="48"/>
      <c r="L122" s="48"/>
    </row>
    <row r="123">
      <c r="C123" s="47"/>
      <c r="F123" s="47"/>
      <c r="K123" s="48"/>
      <c r="L123" s="48"/>
    </row>
    <row r="124">
      <c r="C124" s="47"/>
      <c r="F124" s="47"/>
      <c r="K124" s="48"/>
      <c r="L124" s="48"/>
    </row>
    <row r="125">
      <c r="C125" s="47"/>
      <c r="F125" s="47"/>
      <c r="K125" s="48"/>
      <c r="L125" s="48"/>
    </row>
    <row r="126">
      <c r="C126" s="47"/>
      <c r="F126" s="47"/>
      <c r="K126" s="48"/>
      <c r="L126" s="48"/>
    </row>
    <row r="127">
      <c r="C127" s="47"/>
      <c r="F127" s="47"/>
      <c r="K127" s="48"/>
      <c r="L127" s="48"/>
    </row>
    <row r="128">
      <c r="C128" s="47"/>
      <c r="F128" s="47"/>
      <c r="K128" s="48"/>
      <c r="L128" s="48"/>
    </row>
    <row r="129">
      <c r="C129" s="47"/>
      <c r="F129" s="47"/>
      <c r="K129" s="48"/>
      <c r="L129" s="48"/>
    </row>
    <row r="130">
      <c r="C130" s="47"/>
      <c r="F130" s="47"/>
      <c r="K130" s="48"/>
      <c r="L130" s="48"/>
    </row>
    <row r="131">
      <c r="C131" s="47"/>
      <c r="F131" s="47"/>
      <c r="K131" s="48"/>
      <c r="L131" s="48"/>
    </row>
    <row r="132">
      <c r="C132" s="47"/>
      <c r="F132" s="47"/>
      <c r="K132" s="48"/>
      <c r="L132" s="48"/>
    </row>
    <row r="133">
      <c r="C133" s="47"/>
      <c r="F133" s="47"/>
      <c r="K133" s="48"/>
      <c r="L133" s="48"/>
    </row>
    <row r="134">
      <c r="C134" s="47"/>
      <c r="F134" s="47"/>
      <c r="K134" s="48"/>
      <c r="L134" s="48"/>
    </row>
    <row r="135">
      <c r="C135" s="47"/>
      <c r="F135" s="47"/>
      <c r="K135" s="48"/>
      <c r="L135" s="48"/>
    </row>
    <row r="136">
      <c r="C136" s="47"/>
      <c r="F136" s="47"/>
      <c r="K136" s="48"/>
      <c r="L136" s="48"/>
    </row>
    <row r="137">
      <c r="C137" s="47"/>
      <c r="F137" s="47"/>
      <c r="K137" s="48"/>
      <c r="L137" s="48"/>
    </row>
    <row r="138">
      <c r="C138" s="47"/>
      <c r="F138" s="47"/>
      <c r="K138" s="48"/>
      <c r="L138" s="48"/>
    </row>
    <row r="139">
      <c r="C139" s="47"/>
      <c r="F139" s="47"/>
      <c r="K139" s="48"/>
      <c r="L139" s="48"/>
    </row>
    <row r="140">
      <c r="C140" s="47"/>
      <c r="F140" s="47"/>
      <c r="K140" s="48"/>
      <c r="L140" s="48"/>
    </row>
    <row r="141">
      <c r="C141" s="47"/>
      <c r="F141" s="47"/>
      <c r="K141" s="48"/>
      <c r="L141" s="48"/>
    </row>
    <row r="142">
      <c r="C142" s="47"/>
      <c r="F142" s="47"/>
      <c r="K142" s="48"/>
      <c r="L142" s="48"/>
    </row>
    <row r="143">
      <c r="C143" s="47"/>
      <c r="F143" s="47"/>
      <c r="K143" s="48"/>
      <c r="L143" s="48"/>
    </row>
    <row r="144">
      <c r="C144" s="47"/>
      <c r="F144" s="47"/>
      <c r="K144" s="48"/>
      <c r="L144" s="48"/>
    </row>
    <row r="145">
      <c r="C145" s="47"/>
      <c r="F145" s="47"/>
      <c r="K145" s="48"/>
      <c r="L145" s="48"/>
    </row>
    <row r="146">
      <c r="C146" s="47"/>
      <c r="F146" s="47"/>
      <c r="K146" s="48"/>
      <c r="L146" s="48"/>
    </row>
    <row r="147">
      <c r="C147" s="47"/>
      <c r="F147" s="47"/>
      <c r="K147" s="48"/>
      <c r="L147" s="48"/>
    </row>
    <row r="148">
      <c r="C148" s="47"/>
      <c r="F148" s="47"/>
      <c r="K148" s="48"/>
      <c r="L148" s="48"/>
    </row>
    <row r="149">
      <c r="C149" s="47"/>
      <c r="F149" s="47"/>
      <c r="K149" s="48"/>
      <c r="L149" s="48"/>
    </row>
    <row r="150">
      <c r="C150" s="47"/>
      <c r="F150" s="47"/>
      <c r="K150" s="48"/>
      <c r="L150" s="48"/>
    </row>
    <row r="151">
      <c r="C151" s="47"/>
      <c r="F151" s="47"/>
      <c r="K151" s="48"/>
      <c r="L151" s="48"/>
    </row>
    <row r="152">
      <c r="C152" s="47"/>
      <c r="F152" s="47"/>
      <c r="K152" s="48"/>
      <c r="L152" s="48"/>
    </row>
    <row r="153">
      <c r="C153" s="47"/>
      <c r="F153" s="47"/>
      <c r="K153" s="48"/>
      <c r="L153" s="48"/>
    </row>
    <row r="154">
      <c r="C154" s="47"/>
      <c r="F154" s="47"/>
      <c r="K154" s="48"/>
      <c r="L154" s="48"/>
    </row>
    <row r="155">
      <c r="C155" s="47"/>
      <c r="F155" s="47"/>
      <c r="K155" s="48"/>
      <c r="L155" s="48"/>
    </row>
    <row r="156">
      <c r="C156" s="47"/>
      <c r="F156" s="47"/>
      <c r="K156" s="48"/>
      <c r="L156" s="48"/>
    </row>
    <row r="157">
      <c r="C157" s="47"/>
      <c r="F157" s="47"/>
      <c r="K157" s="48"/>
      <c r="L157" s="48"/>
    </row>
    <row r="158">
      <c r="C158" s="47"/>
      <c r="F158" s="47"/>
      <c r="K158" s="48"/>
      <c r="L158" s="48"/>
    </row>
    <row r="159">
      <c r="C159" s="47"/>
      <c r="F159" s="47"/>
      <c r="K159" s="48"/>
      <c r="L159" s="48"/>
    </row>
    <row r="160">
      <c r="C160" s="47"/>
      <c r="F160" s="47"/>
      <c r="K160" s="48"/>
      <c r="L160" s="48"/>
    </row>
    <row r="161">
      <c r="C161" s="47"/>
      <c r="F161" s="47"/>
      <c r="K161" s="48"/>
      <c r="L161" s="48"/>
    </row>
    <row r="162">
      <c r="C162" s="47"/>
      <c r="F162" s="47"/>
      <c r="K162" s="48"/>
      <c r="L162" s="48"/>
    </row>
    <row r="163">
      <c r="C163" s="47"/>
      <c r="F163" s="47"/>
      <c r="K163" s="48"/>
      <c r="L163" s="48"/>
    </row>
    <row r="164">
      <c r="C164" s="47"/>
      <c r="F164" s="47"/>
      <c r="K164" s="48"/>
      <c r="L164" s="48"/>
    </row>
    <row r="165">
      <c r="C165" s="47"/>
      <c r="F165" s="47"/>
      <c r="K165" s="48"/>
      <c r="L165" s="48"/>
    </row>
    <row r="166">
      <c r="C166" s="47"/>
      <c r="F166" s="47"/>
      <c r="K166" s="48"/>
      <c r="L166" s="48"/>
    </row>
    <row r="167">
      <c r="C167" s="47"/>
      <c r="F167" s="47"/>
      <c r="K167" s="48"/>
      <c r="L167" s="48"/>
    </row>
    <row r="168">
      <c r="C168" s="47"/>
      <c r="F168" s="47"/>
      <c r="K168" s="48"/>
      <c r="L168" s="48"/>
    </row>
    <row r="169">
      <c r="C169" s="47"/>
      <c r="F169" s="47"/>
      <c r="K169" s="48"/>
      <c r="L169" s="48"/>
    </row>
    <row r="170">
      <c r="C170" s="47"/>
      <c r="F170" s="47"/>
      <c r="K170" s="48"/>
      <c r="L170" s="48"/>
    </row>
    <row r="171">
      <c r="C171" s="47"/>
      <c r="F171" s="47"/>
      <c r="K171" s="48"/>
      <c r="L171" s="48"/>
    </row>
    <row r="172">
      <c r="C172" s="47"/>
      <c r="F172" s="47"/>
      <c r="K172" s="48"/>
      <c r="L172" s="48"/>
    </row>
    <row r="173">
      <c r="C173" s="47"/>
      <c r="F173" s="47"/>
      <c r="K173" s="48"/>
      <c r="L173" s="48"/>
    </row>
    <row r="174">
      <c r="C174" s="47"/>
      <c r="F174" s="47"/>
      <c r="K174" s="48"/>
      <c r="L174" s="48"/>
    </row>
    <row r="175">
      <c r="C175" s="47"/>
      <c r="F175" s="47"/>
      <c r="K175" s="48"/>
      <c r="L175" s="48"/>
    </row>
    <row r="176">
      <c r="C176" s="47"/>
      <c r="F176" s="47"/>
      <c r="K176" s="48"/>
      <c r="L176" s="48"/>
    </row>
    <row r="177">
      <c r="C177" s="47"/>
      <c r="F177" s="47"/>
      <c r="K177" s="48"/>
      <c r="L177" s="48"/>
    </row>
    <row r="178">
      <c r="C178" s="47"/>
      <c r="F178" s="47"/>
      <c r="K178" s="48"/>
      <c r="L178" s="48"/>
    </row>
    <row r="179">
      <c r="C179" s="47"/>
      <c r="F179" s="47"/>
      <c r="K179" s="48"/>
      <c r="L179" s="48"/>
    </row>
    <row r="180">
      <c r="C180" s="47"/>
      <c r="F180" s="47"/>
      <c r="K180" s="48"/>
      <c r="L180" s="48"/>
    </row>
    <row r="181">
      <c r="C181" s="47"/>
      <c r="F181" s="47"/>
      <c r="K181" s="48"/>
      <c r="L181" s="48"/>
    </row>
    <row r="182">
      <c r="C182" s="47"/>
      <c r="F182" s="47"/>
      <c r="K182" s="48"/>
      <c r="L182" s="48"/>
    </row>
    <row r="183">
      <c r="C183" s="47"/>
      <c r="F183" s="47"/>
      <c r="K183" s="48"/>
      <c r="L183" s="48"/>
    </row>
    <row r="184">
      <c r="C184" s="47"/>
      <c r="F184" s="47"/>
      <c r="K184" s="48"/>
      <c r="L184" s="48"/>
    </row>
    <row r="185">
      <c r="C185" s="47"/>
      <c r="F185" s="47"/>
      <c r="K185" s="48"/>
      <c r="L185" s="48"/>
    </row>
    <row r="186">
      <c r="C186" s="47"/>
      <c r="F186" s="47"/>
      <c r="K186" s="48"/>
      <c r="L186" s="48"/>
    </row>
    <row r="187">
      <c r="C187" s="47"/>
      <c r="F187" s="47"/>
      <c r="K187" s="48"/>
      <c r="L187" s="48"/>
    </row>
    <row r="188">
      <c r="C188" s="47"/>
      <c r="F188" s="47"/>
      <c r="K188" s="48"/>
      <c r="L188" s="48"/>
    </row>
    <row r="189">
      <c r="C189" s="47"/>
      <c r="F189" s="47"/>
      <c r="K189" s="48"/>
      <c r="L189" s="48"/>
    </row>
    <row r="190">
      <c r="C190" s="47"/>
      <c r="F190" s="47"/>
      <c r="K190" s="48"/>
      <c r="L190" s="48"/>
    </row>
    <row r="191">
      <c r="C191" s="47"/>
      <c r="F191" s="47"/>
      <c r="K191" s="48"/>
      <c r="L191" s="48"/>
    </row>
    <row r="192">
      <c r="C192" s="47"/>
      <c r="F192" s="47"/>
      <c r="K192" s="48"/>
      <c r="L192" s="48"/>
    </row>
    <row r="193">
      <c r="C193" s="47"/>
      <c r="F193" s="47"/>
      <c r="K193" s="48"/>
      <c r="L193" s="48"/>
    </row>
    <row r="194">
      <c r="C194" s="47"/>
      <c r="F194" s="47"/>
      <c r="K194" s="48"/>
      <c r="L194" s="48"/>
    </row>
    <row r="195">
      <c r="C195" s="47"/>
      <c r="F195" s="47"/>
      <c r="K195" s="48"/>
      <c r="L195" s="48"/>
    </row>
    <row r="196">
      <c r="C196" s="47"/>
      <c r="F196" s="47"/>
      <c r="K196" s="48"/>
      <c r="L196" s="48"/>
    </row>
    <row r="197">
      <c r="C197" s="47"/>
      <c r="F197" s="47"/>
      <c r="K197" s="48"/>
      <c r="L197" s="48"/>
    </row>
    <row r="198">
      <c r="C198" s="47"/>
      <c r="F198" s="47"/>
      <c r="K198" s="48"/>
      <c r="L198" s="48"/>
    </row>
    <row r="199">
      <c r="C199" s="47"/>
      <c r="F199" s="47"/>
      <c r="K199" s="48"/>
      <c r="L199" s="48"/>
    </row>
    <row r="200">
      <c r="C200" s="47"/>
      <c r="F200" s="47"/>
      <c r="K200" s="48"/>
      <c r="L200" s="48"/>
    </row>
    <row r="201">
      <c r="C201" s="47"/>
      <c r="F201" s="47"/>
      <c r="K201" s="48"/>
      <c r="L201" s="48"/>
    </row>
    <row r="202">
      <c r="C202" s="47"/>
      <c r="F202" s="47"/>
      <c r="K202" s="48"/>
      <c r="L202" s="48"/>
    </row>
    <row r="203">
      <c r="C203" s="47"/>
      <c r="F203" s="47"/>
      <c r="K203" s="48"/>
      <c r="L203" s="48"/>
    </row>
    <row r="204">
      <c r="C204" s="47"/>
      <c r="F204" s="47"/>
      <c r="K204" s="48"/>
      <c r="L204" s="48"/>
    </row>
    <row r="205">
      <c r="C205" s="47"/>
      <c r="F205" s="47"/>
      <c r="K205" s="48"/>
      <c r="L205" s="48"/>
    </row>
    <row r="206">
      <c r="C206" s="47"/>
      <c r="F206" s="47"/>
      <c r="K206" s="48"/>
      <c r="L206" s="48"/>
    </row>
    <row r="207">
      <c r="C207" s="47"/>
      <c r="F207" s="47"/>
      <c r="K207" s="48"/>
      <c r="L207" s="48"/>
    </row>
    <row r="208">
      <c r="C208" s="47"/>
      <c r="F208" s="47"/>
      <c r="K208" s="48"/>
      <c r="L208" s="48"/>
    </row>
    <row r="209">
      <c r="C209" s="47"/>
      <c r="F209" s="47"/>
      <c r="K209" s="48"/>
      <c r="L209" s="48"/>
    </row>
    <row r="210">
      <c r="C210" s="47"/>
      <c r="F210" s="47"/>
      <c r="K210" s="48"/>
      <c r="L210" s="48"/>
    </row>
    <row r="211">
      <c r="C211" s="47"/>
      <c r="F211" s="47"/>
      <c r="K211" s="48"/>
      <c r="L211" s="48"/>
    </row>
    <row r="212">
      <c r="C212" s="47"/>
      <c r="F212" s="47"/>
      <c r="K212" s="48"/>
      <c r="L212" s="48"/>
    </row>
    <row r="213">
      <c r="C213" s="47"/>
      <c r="F213" s="47"/>
      <c r="K213" s="48"/>
      <c r="L213" s="48"/>
    </row>
    <row r="214">
      <c r="C214" s="47"/>
      <c r="F214" s="47"/>
      <c r="K214" s="48"/>
      <c r="L214" s="48"/>
    </row>
    <row r="215">
      <c r="C215" s="47"/>
      <c r="F215" s="47"/>
      <c r="K215" s="48"/>
      <c r="L215" s="48"/>
    </row>
    <row r="216">
      <c r="C216" s="47"/>
      <c r="F216" s="47"/>
      <c r="K216" s="48"/>
      <c r="L216" s="48"/>
    </row>
    <row r="217">
      <c r="C217" s="47"/>
      <c r="F217" s="47"/>
      <c r="K217" s="48"/>
      <c r="L217" s="48"/>
    </row>
    <row r="218">
      <c r="C218" s="47"/>
      <c r="F218" s="47"/>
      <c r="K218" s="48"/>
      <c r="L218" s="48"/>
    </row>
    <row r="219">
      <c r="C219" s="47"/>
      <c r="F219" s="47"/>
      <c r="K219" s="48"/>
      <c r="L219" s="48"/>
    </row>
    <row r="220">
      <c r="C220" s="47"/>
      <c r="F220" s="47"/>
      <c r="K220" s="48"/>
      <c r="L220" s="48"/>
    </row>
    <row r="221">
      <c r="C221" s="47"/>
      <c r="F221" s="47"/>
      <c r="K221" s="48"/>
      <c r="L221" s="48"/>
    </row>
    <row r="222">
      <c r="C222" s="47"/>
      <c r="F222" s="47"/>
      <c r="K222" s="48"/>
      <c r="L222" s="48"/>
    </row>
    <row r="223">
      <c r="C223" s="47"/>
      <c r="F223" s="47"/>
      <c r="K223" s="48"/>
      <c r="L223" s="48"/>
    </row>
    <row r="224">
      <c r="C224" s="47"/>
      <c r="F224" s="47"/>
      <c r="K224" s="48"/>
      <c r="L224" s="48"/>
    </row>
    <row r="225">
      <c r="C225" s="47"/>
      <c r="F225" s="47"/>
      <c r="K225" s="48"/>
      <c r="L225" s="48"/>
    </row>
    <row r="226">
      <c r="C226" s="47"/>
      <c r="F226" s="47"/>
      <c r="K226" s="48"/>
      <c r="L226" s="48"/>
    </row>
    <row r="227">
      <c r="C227" s="47"/>
      <c r="F227" s="47"/>
      <c r="K227" s="48"/>
      <c r="L227" s="48"/>
    </row>
    <row r="228">
      <c r="C228" s="47"/>
      <c r="F228" s="47"/>
      <c r="K228" s="48"/>
      <c r="L228" s="48"/>
    </row>
    <row r="229">
      <c r="C229" s="47"/>
      <c r="F229" s="47"/>
      <c r="K229" s="48"/>
      <c r="L229" s="48"/>
    </row>
    <row r="230">
      <c r="C230" s="47"/>
      <c r="F230" s="47"/>
      <c r="K230" s="48"/>
      <c r="L230" s="48"/>
    </row>
    <row r="231">
      <c r="C231" s="47"/>
      <c r="F231" s="47"/>
      <c r="K231" s="48"/>
      <c r="L231" s="48"/>
    </row>
    <row r="232">
      <c r="C232" s="47"/>
      <c r="F232" s="47"/>
      <c r="K232" s="48"/>
      <c r="L232" s="48"/>
    </row>
    <row r="233">
      <c r="C233" s="47"/>
      <c r="F233" s="47"/>
      <c r="K233" s="48"/>
      <c r="L233" s="48"/>
    </row>
    <row r="234">
      <c r="C234" s="47"/>
      <c r="F234" s="47"/>
      <c r="K234" s="48"/>
      <c r="L234" s="48"/>
    </row>
    <row r="235">
      <c r="C235" s="47"/>
      <c r="F235" s="47"/>
      <c r="K235" s="48"/>
      <c r="L235" s="48"/>
    </row>
    <row r="236">
      <c r="C236" s="47"/>
      <c r="F236" s="47"/>
      <c r="K236" s="48"/>
      <c r="L236" s="48"/>
    </row>
    <row r="237">
      <c r="C237" s="47"/>
      <c r="F237" s="47"/>
      <c r="K237" s="48"/>
      <c r="L237" s="48"/>
    </row>
    <row r="238">
      <c r="C238" s="47"/>
      <c r="F238" s="47"/>
      <c r="K238" s="48"/>
      <c r="L238" s="48"/>
    </row>
    <row r="239">
      <c r="C239" s="47"/>
      <c r="F239" s="47"/>
      <c r="K239" s="48"/>
      <c r="L239" s="48"/>
    </row>
    <row r="240">
      <c r="C240" s="47"/>
      <c r="F240" s="47"/>
      <c r="K240" s="48"/>
      <c r="L240" s="48"/>
    </row>
    <row r="241">
      <c r="C241" s="47"/>
      <c r="F241" s="47"/>
      <c r="K241" s="48"/>
      <c r="L241" s="48"/>
    </row>
    <row r="242">
      <c r="C242" s="47"/>
      <c r="F242" s="47"/>
      <c r="K242" s="48"/>
      <c r="L242" s="48"/>
    </row>
    <row r="243">
      <c r="C243" s="47"/>
      <c r="F243" s="47"/>
      <c r="K243" s="48"/>
      <c r="L243" s="48"/>
    </row>
    <row r="244">
      <c r="C244" s="47"/>
      <c r="F244" s="47"/>
      <c r="K244" s="48"/>
      <c r="L244" s="48"/>
    </row>
    <row r="245">
      <c r="C245" s="47"/>
      <c r="F245" s="47"/>
      <c r="K245" s="48"/>
      <c r="L245" s="48"/>
    </row>
    <row r="246">
      <c r="C246" s="47"/>
      <c r="F246" s="47"/>
      <c r="K246" s="48"/>
      <c r="L246" s="48"/>
    </row>
    <row r="247">
      <c r="C247" s="47"/>
      <c r="F247" s="47"/>
      <c r="K247" s="48"/>
      <c r="L247" s="48"/>
    </row>
    <row r="248">
      <c r="C248" s="47"/>
      <c r="F248" s="47"/>
      <c r="K248" s="48"/>
      <c r="L248" s="48"/>
    </row>
    <row r="249">
      <c r="C249" s="47"/>
      <c r="F249" s="47"/>
      <c r="K249" s="48"/>
      <c r="L249" s="48"/>
    </row>
    <row r="250">
      <c r="C250" s="47"/>
      <c r="F250" s="47"/>
      <c r="K250" s="48"/>
      <c r="L250" s="48"/>
    </row>
    <row r="251">
      <c r="C251" s="47"/>
      <c r="F251" s="47"/>
      <c r="K251" s="48"/>
      <c r="L251" s="48"/>
    </row>
    <row r="252">
      <c r="C252" s="47"/>
      <c r="F252" s="47"/>
      <c r="K252" s="48"/>
      <c r="L252" s="48"/>
    </row>
    <row r="253">
      <c r="C253" s="47"/>
      <c r="F253" s="47"/>
      <c r="K253" s="48"/>
      <c r="L253" s="48"/>
    </row>
    <row r="254">
      <c r="C254" s="47"/>
      <c r="F254" s="47"/>
      <c r="K254" s="48"/>
      <c r="L254" s="48"/>
    </row>
    <row r="255">
      <c r="C255" s="47"/>
      <c r="F255" s="47"/>
      <c r="K255" s="48"/>
      <c r="L255" s="48"/>
    </row>
    <row r="256">
      <c r="C256" s="47"/>
      <c r="F256" s="47"/>
      <c r="K256" s="48"/>
      <c r="L256" s="48"/>
    </row>
    <row r="257">
      <c r="C257" s="47"/>
      <c r="F257" s="47"/>
      <c r="K257" s="48"/>
      <c r="L257" s="48"/>
    </row>
    <row r="258">
      <c r="C258" s="47"/>
      <c r="F258" s="47"/>
      <c r="K258" s="48"/>
      <c r="L258" s="48"/>
    </row>
    <row r="259">
      <c r="C259" s="47"/>
      <c r="F259" s="47"/>
      <c r="K259" s="48"/>
      <c r="L259" s="48"/>
    </row>
    <row r="260">
      <c r="C260" s="47"/>
      <c r="F260" s="47"/>
      <c r="K260" s="48"/>
      <c r="L260" s="48"/>
    </row>
    <row r="261">
      <c r="C261" s="47"/>
      <c r="F261" s="47"/>
      <c r="K261" s="48"/>
      <c r="L261" s="48"/>
    </row>
    <row r="262">
      <c r="C262" s="47"/>
      <c r="F262" s="47"/>
      <c r="K262" s="48"/>
      <c r="L262" s="48"/>
    </row>
    <row r="263">
      <c r="C263" s="47"/>
      <c r="F263" s="47"/>
      <c r="K263" s="48"/>
      <c r="L263" s="48"/>
    </row>
    <row r="264">
      <c r="C264" s="47"/>
      <c r="F264" s="47"/>
      <c r="K264" s="48"/>
      <c r="L264" s="48"/>
    </row>
    <row r="265">
      <c r="C265" s="47"/>
      <c r="F265" s="47"/>
      <c r="K265" s="48"/>
      <c r="L265" s="48"/>
    </row>
    <row r="266">
      <c r="C266" s="47"/>
      <c r="F266" s="47"/>
      <c r="K266" s="48"/>
      <c r="L266" s="48"/>
    </row>
    <row r="267">
      <c r="C267" s="47"/>
      <c r="F267" s="47"/>
      <c r="K267" s="48"/>
      <c r="L267" s="48"/>
    </row>
    <row r="268">
      <c r="C268" s="47"/>
      <c r="F268" s="47"/>
      <c r="K268" s="48"/>
      <c r="L268" s="48"/>
    </row>
    <row r="269">
      <c r="C269" s="47"/>
      <c r="F269" s="47"/>
      <c r="K269" s="48"/>
      <c r="L269" s="48"/>
    </row>
    <row r="270">
      <c r="C270" s="47"/>
      <c r="F270" s="47"/>
      <c r="K270" s="48"/>
      <c r="L270" s="48"/>
    </row>
    <row r="271">
      <c r="C271" s="47"/>
      <c r="F271" s="47"/>
      <c r="K271" s="48"/>
      <c r="L271" s="48"/>
    </row>
    <row r="272">
      <c r="C272" s="47"/>
      <c r="F272" s="47"/>
      <c r="K272" s="48"/>
      <c r="L272" s="48"/>
    </row>
    <row r="273">
      <c r="C273" s="47"/>
      <c r="F273" s="47"/>
      <c r="K273" s="48"/>
      <c r="L273" s="48"/>
    </row>
    <row r="274">
      <c r="C274" s="47"/>
      <c r="F274" s="47"/>
      <c r="K274" s="48"/>
      <c r="L274" s="48"/>
    </row>
    <row r="275">
      <c r="C275" s="47"/>
      <c r="F275" s="47"/>
      <c r="K275" s="48"/>
      <c r="L275" s="48"/>
    </row>
    <row r="276">
      <c r="C276" s="47"/>
      <c r="F276" s="47"/>
      <c r="K276" s="48"/>
      <c r="L276" s="48"/>
    </row>
    <row r="277">
      <c r="C277" s="47"/>
      <c r="F277" s="47"/>
      <c r="K277" s="48"/>
      <c r="L277" s="48"/>
    </row>
    <row r="278">
      <c r="C278" s="47"/>
      <c r="F278" s="47"/>
      <c r="K278" s="48"/>
      <c r="L278" s="48"/>
    </row>
    <row r="279">
      <c r="C279" s="47"/>
      <c r="F279" s="47"/>
      <c r="K279" s="48"/>
      <c r="L279" s="48"/>
    </row>
    <row r="280">
      <c r="C280" s="47"/>
      <c r="F280" s="47"/>
      <c r="K280" s="48"/>
      <c r="L280" s="48"/>
    </row>
    <row r="281">
      <c r="C281" s="47"/>
      <c r="F281" s="47"/>
      <c r="K281" s="48"/>
      <c r="L281" s="48"/>
    </row>
    <row r="282">
      <c r="C282" s="47"/>
      <c r="F282" s="47"/>
      <c r="K282" s="48"/>
      <c r="L282" s="48"/>
    </row>
    <row r="283">
      <c r="C283" s="47"/>
      <c r="F283" s="47"/>
      <c r="K283" s="48"/>
      <c r="L283" s="48"/>
    </row>
    <row r="284">
      <c r="C284" s="47"/>
      <c r="F284" s="47"/>
      <c r="K284" s="48"/>
      <c r="L284" s="48"/>
    </row>
    <row r="285">
      <c r="C285" s="47"/>
      <c r="F285" s="47"/>
      <c r="K285" s="48"/>
      <c r="L285" s="48"/>
    </row>
    <row r="286">
      <c r="C286" s="47"/>
      <c r="F286" s="47"/>
      <c r="K286" s="48"/>
      <c r="L286" s="48"/>
    </row>
    <row r="287">
      <c r="C287" s="47"/>
      <c r="F287" s="47"/>
      <c r="K287" s="48"/>
      <c r="L287" s="48"/>
    </row>
    <row r="288">
      <c r="C288" s="47"/>
      <c r="F288" s="47"/>
      <c r="K288" s="48"/>
      <c r="L288" s="48"/>
    </row>
    <row r="289">
      <c r="C289" s="47"/>
      <c r="F289" s="47"/>
      <c r="K289" s="48"/>
      <c r="L289" s="48"/>
    </row>
    <row r="290">
      <c r="C290" s="47"/>
      <c r="F290" s="47"/>
      <c r="K290" s="48"/>
      <c r="L290" s="48"/>
    </row>
    <row r="291">
      <c r="C291" s="47"/>
      <c r="F291" s="47"/>
      <c r="K291" s="48"/>
      <c r="L291" s="48"/>
    </row>
    <row r="292">
      <c r="C292" s="47"/>
      <c r="F292" s="47"/>
      <c r="K292" s="48"/>
      <c r="L292" s="48"/>
    </row>
    <row r="293">
      <c r="C293" s="47"/>
      <c r="F293" s="47"/>
      <c r="K293" s="48"/>
      <c r="L293" s="48"/>
    </row>
    <row r="294">
      <c r="C294" s="47"/>
      <c r="F294" s="47"/>
      <c r="K294" s="48"/>
      <c r="L294" s="48"/>
    </row>
    <row r="295">
      <c r="C295" s="47"/>
      <c r="F295" s="47"/>
      <c r="K295" s="48"/>
      <c r="L295" s="48"/>
    </row>
    <row r="296">
      <c r="C296" s="47"/>
      <c r="F296" s="47"/>
      <c r="K296" s="48"/>
      <c r="L296" s="48"/>
    </row>
    <row r="297">
      <c r="C297" s="47"/>
      <c r="F297" s="47"/>
      <c r="K297" s="48"/>
      <c r="L297" s="48"/>
    </row>
    <row r="298">
      <c r="C298" s="47"/>
      <c r="F298" s="47"/>
      <c r="K298" s="48"/>
      <c r="L298" s="48"/>
    </row>
    <row r="299">
      <c r="C299" s="47"/>
      <c r="F299" s="47"/>
      <c r="K299" s="48"/>
      <c r="L299" s="48"/>
    </row>
    <row r="300">
      <c r="C300" s="47"/>
      <c r="F300" s="47"/>
      <c r="K300" s="48"/>
      <c r="L300" s="48"/>
    </row>
    <row r="301">
      <c r="C301" s="47"/>
      <c r="F301" s="47"/>
      <c r="K301" s="48"/>
      <c r="L301" s="48"/>
    </row>
    <row r="302">
      <c r="C302" s="47"/>
      <c r="F302" s="47"/>
      <c r="K302" s="48"/>
      <c r="L302" s="48"/>
    </row>
    <row r="303">
      <c r="C303" s="47"/>
      <c r="F303" s="47"/>
      <c r="K303" s="48"/>
      <c r="L303" s="48"/>
    </row>
    <row r="304">
      <c r="C304" s="47"/>
      <c r="F304" s="47"/>
      <c r="K304" s="48"/>
      <c r="L304" s="48"/>
    </row>
    <row r="305">
      <c r="C305" s="47"/>
      <c r="F305" s="47"/>
      <c r="K305" s="48"/>
      <c r="L305" s="48"/>
    </row>
    <row r="306">
      <c r="C306" s="47"/>
      <c r="F306" s="47"/>
      <c r="K306" s="48"/>
      <c r="L306" s="48"/>
    </row>
    <row r="307">
      <c r="C307" s="47"/>
      <c r="F307" s="47"/>
      <c r="K307" s="48"/>
      <c r="L307" s="48"/>
    </row>
    <row r="308">
      <c r="C308" s="47"/>
      <c r="F308" s="47"/>
      <c r="K308" s="48"/>
      <c r="L308" s="48"/>
    </row>
    <row r="309">
      <c r="C309" s="47"/>
      <c r="F309" s="47"/>
      <c r="K309" s="48"/>
      <c r="L309" s="48"/>
    </row>
    <row r="310">
      <c r="C310" s="47"/>
      <c r="F310" s="47"/>
      <c r="K310" s="48"/>
      <c r="L310" s="48"/>
    </row>
    <row r="311">
      <c r="C311" s="47"/>
      <c r="F311" s="47"/>
      <c r="K311" s="48"/>
      <c r="L311" s="48"/>
    </row>
    <row r="312">
      <c r="C312" s="47"/>
      <c r="F312" s="47"/>
      <c r="K312" s="48"/>
      <c r="L312" s="48"/>
    </row>
    <row r="313">
      <c r="C313" s="47"/>
      <c r="F313" s="47"/>
      <c r="K313" s="48"/>
      <c r="L313" s="48"/>
    </row>
    <row r="314">
      <c r="C314" s="47"/>
      <c r="F314" s="47"/>
      <c r="K314" s="48"/>
      <c r="L314" s="48"/>
    </row>
    <row r="315">
      <c r="C315" s="47"/>
      <c r="F315" s="47"/>
      <c r="K315" s="48"/>
      <c r="L315" s="48"/>
    </row>
    <row r="316">
      <c r="C316" s="47"/>
      <c r="F316" s="47"/>
      <c r="K316" s="48"/>
      <c r="L316" s="48"/>
    </row>
    <row r="317">
      <c r="C317" s="47"/>
      <c r="F317" s="47"/>
      <c r="K317" s="48"/>
      <c r="L317" s="48"/>
    </row>
    <row r="318">
      <c r="C318" s="47"/>
      <c r="F318" s="47"/>
      <c r="K318" s="48"/>
      <c r="L318" s="48"/>
    </row>
    <row r="319">
      <c r="C319" s="47"/>
      <c r="F319" s="47"/>
      <c r="K319" s="48"/>
      <c r="L319" s="48"/>
    </row>
    <row r="320">
      <c r="C320" s="47"/>
      <c r="F320" s="47"/>
      <c r="K320" s="48"/>
      <c r="L320" s="48"/>
    </row>
    <row r="321">
      <c r="C321" s="47"/>
      <c r="F321" s="47"/>
      <c r="K321" s="48"/>
      <c r="L321" s="48"/>
    </row>
    <row r="322">
      <c r="C322" s="47"/>
      <c r="F322" s="47"/>
      <c r="K322" s="48"/>
      <c r="L322" s="48"/>
    </row>
    <row r="323">
      <c r="C323" s="47"/>
      <c r="F323" s="47"/>
      <c r="K323" s="48"/>
      <c r="L323" s="48"/>
    </row>
    <row r="324">
      <c r="C324" s="47"/>
      <c r="F324" s="47"/>
      <c r="K324" s="48"/>
      <c r="L324" s="48"/>
    </row>
    <row r="325">
      <c r="C325" s="47"/>
      <c r="F325" s="47"/>
      <c r="K325" s="48"/>
      <c r="L325" s="48"/>
    </row>
    <row r="326">
      <c r="C326" s="47"/>
      <c r="F326" s="47"/>
      <c r="K326" s="48"/>
      <c r="L326" s="48"/>
    </row>
    <row r="327">
      <c r="C327" s="47"/>
      <c r="F327" s="47"/>
      <c r="K327" s="48"/>
      <c r="L327" s="48"/>
    </row>
    <row r="328">
      <c r="C328" s="47"/>
      <c r="F328" s="47"/>
      <c r="K328" s="48"/>
      <c r="L328" s="48"/>
    </row>
    <row r="329">
      <c r="C329" s="47"/>
      <c r="F329" s="47"/>
      <c r="K329" s="48"/>
      <c r="L329" s="48"/>
    </row>
    <row r="330">
      <c r="C330" s="47"/>
      <c r="F330" s="47"/>
      <c r="K330" s="48"/>
      <c r="L330" s="48"/>
    </row>
    <row r="331">
      <c r="C331" s="47"/>
      <c r="F331" s="47"/>
      <c r="K331" s="48"/>
      <c r="L331" s="48"/>
    </row>
    <row r="332">
      <c r="C332" s="47"/>
      <c r="F332" s="47"/>
      <c r="K332" s="48"/>
      <c r="L332" s="48"/>
    </row>
    <row r="333">
      <c r="C333" s="47"/>
      <c r="F333" s="47"/>
      <c r="K333" s="48"/>
      <c r="L333" s="48"/>
    </row>
    <row r="334">
      <c r="C334" s="47"/>
      <c r="F334" s="47"/>
      <c r="K334" s="48"/>
      <c r="L334" s="48"/>
    </row>
    <row r="335">
      <c r="C335" s="47"/>
      <c r="F335" s="47"/>
      <c r="K335" s="48"/>
      <c r="L335" s="48"/>
    </row>
    <row r="336">
      <c r="C336" s="47"/>
      <c r="F336" s="47"/>
      <c r="K336" s="48"/>
      <c r="L336" s="48"/>
    </row>
    <row r="337">
      <c r="C337" s="47"/>
      <c r="F337" s="47"/>
      <c r="K337" s="48"/>
      <c r="L337" s="48"/>
    </row>
    <row r="338">
      <c r="C338" s="47"/>
      <c r="F338" s="47"/>
      <c r="K338" s="48"/>
      <c r="L338" s="48"/>
    </row>
    <row r="339">
      <c r="C339" s="47"/>
      <c r="F339" s="47"/>
      <c r="K339" s="48"/>
      <c r="L339" s="48"/>
    </row>
    <row r="340">
      <c r="C340" s="47"/>
      <c r="F340" s="47"/>
      <c r="K340" s="48"/>
      <c r="L340" s="48"/>
    </row>
    <row r="341">
      <c r="C341" s="47"/>
      <c r="F341" s="47"/>
      <c r="K341" s="48"/>
      <c r="L341" s="48"/>
    </row>
    <row r="342">
      <c r="C342" s="47"/>
      <c r="F342" s="47"/>
      <c r="K342" s="48"/>
      <c r="L342" s="48"/>
    </row>
    <row r="343">
      <c r="C343" s="47"/>
      <c r="F343" s="47"/>
      <c r="K343" s="48"/>
      <c r="L343" s="48"/>
    </row>
    <row r="344">
      <c r="C344" s="47"/>
      <c r="F344" s="47"/>
      <c r="K344" s="48"/>
      <c r="L344" s="48"/>
    </row>
    <row r="345">
      <c r="C345" s="47"/>
      <c r="F345" s="47"/>
      <c r="K345" s="48"/>
      <c r="L345" s="48"/>
    </row>
    <row r="346">
      <c r="C346" s="47"/>
      <c r="F346" s="47"/>
      <c r="K346" s="48"/>
      <c r="L346" s="48"/>
    </row>
    <row r="347">
      <c r="C347" s="47"/>
      <c r="F347" s="47"/>
      <c r="K347" s="48"/>
      <c r="L347" s="48"/>
    </row>
    <row r="348">
      <c r="C348" s="47"/>
      <c r="F348" s="47"/>
      <c r="K348" s="48"/>
      <c r="L348" s="48"/>
    </row>
    <row r="349">
      <c r="C349" s="47"/>
      <c r="F349" s="47"/>
      <c r="K349" s="48"/>
      <c r="L349" s="48"/>
    </row>
    <row r="350">
      <c r="C350" s="47"/>
      <c r="F350" s="47"/>
      <c r="K350" s="48"/>
      <c r="L350" s="48"/>
    </row>
    <row r="351">
      <c r="C351" s="47"/>
      <c r="F351" s="47"/>
      <c r="K351" s="48"/>
      <c r="L351" s="48"/>
    </row>
    <row r="352">
      <c r="C352" s="47"/>
      <c r="F352" s="47"/>
      <c r="K352" s="48"/>
      <c r="L352" s="48"/>
    </row>
    <row r="353">
      <c r="C353" s="47"/>
      <c r="F353" s="47"/>
      <c r="K353" s="48"/>
      <c r="L353" s="48"/>
    </row>
    <row r="354">
      <c r="C354" s="47"/>
      <c r="F354" s="47"/>
      <c r="K354" s="48"/>
      <c r="L354" s="48"/>
    </row>
    <row r="355">
      <c r="C355" s="47"/>
      <c r="F355" s="47"/>
      <c r="K355" s="48"/>
      <c r="L355" s="48"/>
    </row>
    <row r="356">
      <c r="C356" s="47"/>
      <c r="F356" s="47"/>
      <c r="K356" s="48"/>
      <c r="L356" s="48"/>
    </row>
    <row r="357">
      <c r="C357" s="47"/>
      <c r="F357" s="47"/>
      <c r="K357" s="48"/>
      <c r="L357" s="48"/>
    </row>
    <row r="358">
      <c r="C358" s="47"/>
      <c r="F358" s="47"/>
      <c r="K358" s="48"/>
      <c r="L358" s="48"/>
    </row>
    <row r="359">
      <c r="C359" s="47"/>
      <c r="F359" s="47"/>
      <c r="K359" s="48"/>
      <c r="L359" s="48"/>
    </row>
    <row r="360">
      <c r="C360" s="47"/>
      <c r="F360" s="47"/>
      <c r="K360" s="48"/>
      <c r="L360" s="48"/>
    </row>
    <row r="361">
      <c r="C361" s="47"/>
      <c r="F361" s="47"/>
      <c r="K361" s="48"/>
      <c r="L361" s="48"/>
    </row>
    <row r="362">
      <c r="C362" s="47"/>
      <c r="F362" s="47"/>
      <c r="K362" s="48"/>
      <c r="L362" s="48"/>
    </row>
    <row r="363">
      <c r="C363" s="47"/>
      <c r="F363" s="47"/>
      <c r="K363" s="48"/>
      <c r="L363" s="48"/>
    </row>
    <row r="364">
      <c r="C364" s="47"/>
      <c r="F364" s="47"/>
      <c r="K364" s="48"/>
      <c r="L364" s="48"/>
    </row>
    <row r="365">
      <c r="C365" s="47"/>
      <c r="F365" s="47"/>
      <c r="K365" s="48"/>
      <c r="L365" s="48"/>
    </row>
    <row r="366">
      <c r="C366" s="47"/>
      <c r="F366" s="47"/>
      <c r="K366" s="48"/>
      <c r="L366" s="48"/>
    </row>
    <row r="367">
      <c r="C367" s="47"/>
      <c r="F367" s="47"/>
      <c r="K367" s="48"/>
      <c r="L367" s="48"/>
    </row>
    <row r="368">
      <c r="C368" s="47"/>
      <c r="F368" s="47"/>
      <c r="K368" s="48"/>
      <c r="L368" s="48"/>
    </row>
    <row r="369">
      <c r="C369" s="47"/>
      <c r="F369" s="47"/>
      <c r="K369" s="48"/>
      <c r="L369" s="48"/>
    </row>
    <row r="370">
      <c r="C370" s="47"/>
      <c r="F370" s="47"/>
      <c r="K370" s="48"/>
      <c r="L370" s="48"/>
    </row>
    <row r="371">
      <c r="C371" s="47"/>
      <c r="F371" s="47"/>
      <c r="K371" s="48"/>
      <c r="L371" s="48"/>
    </row>
    <row r="372">
      <c r="C372" s="47"/>
      <c r="F372" s="47"/>
      <c r="K372" s="48"/>
      <c r="L372" s="48"/>
    </row>
    <row r="373">
      <c r="C373" s="47"/>
      <c r="F373" s="47"/>
      <c r="K373" s="48"/>
      <c r="L373" s="48"/>
    </row>
    <row r="374">
      <c r="C374" s="47"/>
      <c r="F374" s="47"/>
      <c r="K374" s="48"/>
      <c r="L374" s="48"/>
    </row>
    <row r="375">
      <c r="C375" s="47"/>
      <c r="F375" s="47"/>
      <c r="K375" s="48"/>
      <c r="L375" s="48"/>
    </row>
    <row r="376">
      <c r="C376" s="47"/>
      <c r="F376" s="47"/>
      <c r="K376" s="48"/>
      <c r="L376" s="48"/>
    </row>
    <row r="377">
      <c r="C377" s="47"/>
      <c r="F377" s="47"/>
      <c r="K377" s="48"/>
      <c r="L377" s="48"/>
    </row>
    <row r="378">
      <c r="C378" s="47"/>
      <c r="F378" s="47"/>
      <c r="K378" s="48"/>
      <c r="L378" s="48"/>
    </row>
    <row r="379">
      <c r="C379" s="47"/>
      <c r="F379" s="47"/>
      <c r="K379" s="48"/>
      <c r="L379" s="48"/>
    </row>
    <row r="380">
      <c r="C380" s="47"/>
      <c r="F380" s="47"/>
      <c r="K380" s="48"/>
      <c r="L380" s="48"/>
    </row>
    <row r="381">
      <c r="C381" s="47"/>
      <c r="F381" s="47"/>
      <c r="K381" s="48"/>
      <c r="L381" s="48"/>
    </row>
    <row r="382">
      <c r="C382" s="47"/>
      <c r="F382" s="47"/>
      <c r="K382" s="48"/>
      <c r="L382" s="48"/>
    </row>
    <row r="383">
      <c r="C383" s="47"/>
      <c r="F383" s="47"/>
      <c r="K383" s="48"/>
      <c r="L383" s="48"/>
    </row>
    <row r="384">
      <c r="C384" s="47"/>
      <c r="F384" s="47"/>
      <c r="K384" s="48"/>
      <c r="L384" s="48"/>
    </row>
    <row r="385">
      <c r="C385" s="47"/>
      <c r="F385" s="47"/>
      <c r="K385" s="48"/>
      <c r="L385" s="48"/>
    </row>
    <row r="386">
      <c r="C386" s="47"/>
      <c r="F386" s="47"/>
      <c r="K386" s="48"/>
      <c r="L386" s="48"/>
    </row>
    <row r="387">
      <c r="C387" s="47"/>
      <c r="F387" s="47"/>
      <c r="K387" s="48"/>
      <c r="L387" s="48"/>
    </row>
    <row r="388">
      <c r="C388" s="47"/>
      <c r="F388" s="47"/>
      <c r="K388" s="48"/>
      <c r="L388" s="48"/>
    </row>
    <row r="389">
      <c r="C389" s="47"/>
      <c r="F389" s="47"/>
      <c r="K389" s="48"/>
      <c r="L389" s="48"/>
    </row>
    <row r="390">
      <c r="C390" s="47"/>
      <c r="F390" s="47"/>
      <c r="K390" s="48"/>
      <c r="L390" s="48"/>
    </row>
    <row r="391">
      <c r="C391" s="47"/>
      <c r="F391" s="47"/>
      <c r="K391" s="48"/>
      <c r="L391" s="48"/>
    </row>
    <row r="392">
      <c r="C392" s="47"/>
      <c r="F392" s="47"/>
      <c r="K392" s="48"/>
      <c r="L392" s="48"/>
    </row>
    <row r="393">
      <c r="C393" s="47"/>
      <c r="F393" s="47"/>
      <c r="K393" s="48"/>
      <c r="L393" s="48"/>
    </row>
    <row r="394">
      <c r="C394" s="47"/>
      <c r="F394" s="47"/>
      <c r="K394" s="48"/>
      <c r="L394" s="48"/>
    </row>
    <row r="395">
      <c r="C395" s="47"/>
      <c r="F395" s="47"/>
      <c r="K395" s="48"/>
      <c r="L395" s="48"/>
    </row>
    <row r="396">
      <c r="C396" s="47"/>
      <c r="F396" s="47"/>
      <c r="K396" s="48"/>
      <c r="L396" s="48"/>
    </row>
    <row r="397">
      <c r="C397" s="47"/>
      <c r="F397" s="47"/>
      <c r="K397" s="48"/>
      <c r="L397" s="48"/>
    </row>
    <row r="398">
      <c r="C398" s="47"/>
      <c r="F398" s="47"/>
      <c r="K398" s="48"/>
      <c r="L398" s="48"/>
    </row>
    <row r="399">
      <c r="C399" s="47"/>
      <c r="F399" s="47"/>
      <c r="K399" s="48"/>
      <c r="L399" s="48"/>
    </row>
    <row r="400">
      <c r="C400" s="47"/>
      <c r="F400" s="47"/>
      <c r="K400" s="48"/>
      <c r="L400" s="48"/>
    </row>
    <row r="401">
      <c r="C401" s="47"/>
      <c r="F401" s="47"/>
      <c r="K401" s="48"/>
      <c r="L401" s="48"/>
    </row>
    <row r="402">
      <c r="C402" s="47"/>
      <c r="F402" s="47"/>
      <c r="K402" s="48"/>
      <c r="L402" s="48"/>
    </row>
    <row r="403">
      <c r="C403" s="47"/>
      <c r="F403" s="47"/>
      <c r="K403" s="48"/>
      <c r="L403" s="48"/>
    </row>
    <row r="404">
      <c r="C404" s="47"/>
      <c r="F404" s="47"/>
      <c r="K404" s="48"/>
      <c r="L404" s="48"/>
    </row>
    <row r="405">
      <c r="C405" s="47"/>
      <c r="F405" s="47"/>
      <c r="K405" s="48"/>
      <c r="L405" s="48"/>
    </row>
    <row r="406">
      <c r="C406" s="47"/>
      <c r="F406" s="47"/>
      <c r="K406" s="48"/>
      <c r="L406" s="48"/>
    </row>
    <row r="407">
      <c r="C407" s="47"/>
      <c r="F407" s="47"/>
      <c r="K407" s="48"/>
      <c r="L407" s="48"/>
    </row>
    <row r="408">
      <c r="C408" s="47"/>
      <c r="F408" s="47"/>
      <c r="K408" s="48"/>
      <c r="L408" s="48"/>
    </row>
    <row r="409">
      <c r="C409" s="47"/>
      <c r="F409" s="47"/>
      <c r="K409" s="48"/>
      <c r="L409" s="48"/>
    </row>
    <row r="410">
      <c r="C410" s="47"/>
      <c r="F410" s="47"/>
      <c r="K410" s="48"/>
      <c r="L410" s="48"/>
    </row>
    <row r="411">
      <c r="C411" s="47"/>
      <c r="F411" s="47"/>
      <c r="K411" s="48"/>
      <c r="L411" s="48"/>
    </row>
    <row r="412">
      <c r="C412" s="47"/>
      <c r="F412" s="47"/>
      <c r="K412" s="48"/>
      <c r="L412" s="48"/>
    </row>
    <row r="413">
      <c r="C413" s="47"/>
      <c r="F413" s="47"/>
      <c r="K413" s="48"/>
      <c r="L413" s="48"/>
    </row>
    <row r="414">
      <c r="C414" s="47"/>
      <c r="F414" s="47"/>
      <c r="K414" s="48"/>
      <c r="L414" s="48"/>
    </row>
    <row r="415">
      <c r="C415" s="47"/>
      <c r="F415" s="47"/>
      <c r="K415" s="48"/>
      <c r="L415" s="48"/>
    </row>
    <row r="416">
      <c r="C416" s="47"/>
      <c r="F416" s="47"/>
      <c r="K416" s="48"/>
      <c r="L416" s="48"/>
    </row>
    <row r="417">
      <c r="C417" s="47"/>
      <c r="F417" s="47"/>
      <c r="K417" s="48"/>
      <c r="L417" s="48"/>
    </row>
    <row r="418">
      <c r="C418" s="47"/>
      <c r="F418" s="47"/>
      <c r="K418" s="48"/>
      <c r="L418" s="48"/>
    </row>
    <row r="419">
      <c r="C419" s="47"/>
      <c r="F419" s="47"/>
      <c r="K419" s="48"/>
      <c r="L419" s="48"/>
    </row>
    <row r="420">
      <c r="C420" s="47"/>
      <c r="F420" s="47"/>
      <c r="K420" s="48"/>
      <c r="L420" s="48"/>
    </row>
    <row r="421">
      <c r="C421" s="47"/>
      <c r="F421" s="47"/>
      <c r="K421" s="48"/>
      <c r="L421" s="48"/>
    </row>
    <row r="422">
      <c r="C422" s="47"/>
      <c r="F422" s="47"/>
      <c r="K422" s="48"/>
      <c r="L422" s="48"/>
    </row>
    <row r="423">
      <c r="C423" s="47"/>
      <c r="F423" s="47"/>
      <c r="K423" s="48"/>
      <c r="L423" s="48"/>
    </row>
    <row r="424">
      <c r="C424" s="47"/>
      <c r="F424" s="47"/>
      <c r="K424" s="48"/>
      <c r="L424" s="48"/>
    </row>
    <row r="425">
      <c r="C425" s="47"/>
      <c r="F425" s="47"/>
      <c r="K425" s="48"/>
      <c r="L425" s="48"/>
    </row>
    <row r="426">
      <c r="C426" s="47"/>
      <c r="F426" s="47"/>
      <c r="K426" s="48"/>
      <c r="L426" s="48"/>
    </row>
    <row r="427">
      <c r="C427" s="47"/>
      <c r="F427" s="47"/>
      <c r="K427" s="48"/>
      <c r="L427" s="48"/>
    </row>
    <row r="428">
      <c r="C428" s="47"/>
      <c r="F428" s="47"/>
      <c r="K428" s="48"/>
      <c r="L428" s="48"/>
    </row>
    <row r="429">
      <c r="C429" s="47"/>
      <c r="F429" s="47"/>
      <c r="K429" s="48"/>
      <c r="L429" s="48"/>
    </row>
    <row r="430">
      <c r="C430" s="47"/>
      <c r="F430" s="47"/>
      <c r="K430" s="48"/>
      <c r="L430" s="48"/>
    </row>
    <row r="431">
      <c r="C431" s="47"/>
      <c r="F431" s="47"/>
      <c r="K431" s="48"/>
      <c r="L431" s="48"/>
    </row>
    <row r="432">
      <c r="C432" s="47"/>
      <c r="F432" s="47"/>
      <c r="K432" s="48"/>
      <c r="L432" s="48"/>
    </row>
    <row r="433">
      <c r="C433" s="47"/>
      <c r="F433" s="47"/>
      <c r="K433" s="48"/>
      <c r="L433" s="48"/>
    </row>
    <row r="434">
      <c r="C434" s="47"/>
      <c r="F434" s="47"/>
      <c r="K434" s="48"/>
      <c r="L434" s="48"/>
    </row>
    <row r="435">
      <c r="C435" s="47"/>
      <c r="F435" s="47"/>
      <c r="K435" s="48"/>
      <c r="L435" s="48"/>
    </row>
    <row r="436">
      <c r="C436" s="47"/>
      <c r="F436" s="47"/>
      <c r="K436" s="48"/>
      <c r="L436" s="48"/>
    </row>
    <row r="437">
      <c r="C437" s="47"/>
      <c r="F437" s="47"/>
      <c r="K437" s="48"/>
      <c r="L437" s="48"/>
    </row>
    <row r="438">
      <c r="C438" s="47"/>
      <c r="F438" s="47"/>
      <c r="K438" s="48"/>
      <c r="L438" s="48"/>
    </row>
    <row r="439">
      <c r="C439" s="47"/>
      <c r="F439" s="47"/>
      <c r="K439" s="48"/>
      <c r="L439" s="48"/>
    </row>
    <row r="440">
      <c r="C440" s="47"/>
      <c r="F440" s="47"/>
      <c r="K440" s="48"/>
      <c r="L440" s="48"/>
    </row>
    <row r="441">
      <c r="C441" s="47"/>
      <c r="F441" s="47"/>
      <c r="K441" s="48"/>
      <c r="L441" s="48"/>
    </row>
    <row r="442">
      <c r="C442" s="47"/>
      <c r="F442" s="47"/>
      <c r="K442" s="48"/>
      <c r="L442" s="48"/>
    </row>
    <row r="443">
      <c r="C443" s="47"/>
      <c r="F443" s="47"/>
      <c r="K443" s="48"/>
      <c r="L443" s="48"/>
    </row>
    <row r="444">
      <c r="C444" s="47"/>
      <c r="F444" s="47"/>
      <c r="K444" s="48"/>
      <c r="L444" s="48"/>
    </row>
    <row r="445">
      <c r="C445" s="47"/>
      <c r="F445" s="47"/>
      <c r="K445" s="48"/>
      <c r="L445" s="48"/>
    </row>
    <row r="446">
      <c r="C446" s="47"/>
      <c r="F446" s="47"/>
      <c r="K446" s="48"/>
      <c r="L446" s="48"/>
    </row>
    <row r="447">
      <c r="C447" s="47"/>
      <c r="F447" s="47"/>
      <c r="K447" s="48"/>
      <c r="L447" s="48"/>
    </row>
    <row r="448">
      <c r="C448" s="47"/>
      <c r="F448" s="47"/>
      <c r="K448" s="48"/>
      <c r="L448" s="48"/>
    </row>
    <row r="449">
      <c r="C449" s="47"/>
      <c r="F449" s="47"/>
      <c r="K449" s="48"/>
      <c r="L449" s="48"/>
    </row>
    <row r="450">
      <c r="C450" s="47"/>
      <c r="F450" s="47"/>
      <c r="K450" s="48"/>
      <c r="L450" s="48"/>
    </row>
    <row r="451">
      <c r="C451" s="47"/>
      <c r="F451" s="47"/>
      <c r="K451" s="48"/>
      <c r="L451" s="48"/>
    </row>
    <row r="452">
      <c r="C452" s="47"/>
      <c r="F452" s="47"/>
      <c r="K452" s="48"/>
      <c r="L452" s="48"/>
    </row>
    <row r="453">
      <c r="C453" s="47"/>
      <c r="F453" s="47"/>
      <c r="K453" s="48"/>
      <c r="L453" s="48"/>
    </row>
    <row r="454">
      <c r="C454" s="47"/>
      <c r="F454" s="47"/>
      <c r="K454" s="48"/>
      <c r="L454" s="48"/>
    </row>
    <row r="455">
      <c r="C455" s="47"/>
      <c r="F455" s="47"/>
      <c r="K455" s="48"/>
      <c r="L455" s="48"/>
    </row>
    <row r="456">
      <c r="C456" s="47"/>
      <c r="F456" s="47"/>
      <c r="K456" s="48"/>
      <c r="L456" s="48"/>
    </row>
    <row r="457">
      <c r="C457" s="47"/>
      <c r="F457" s="47"/>
      <c r="K457" s="48"/>
      <c r="L457" s="48"/>
    </row>
    <row r="458">
      <c r="C458" s="47"/>
      <c r="F458" s="47"/>
      <c r="K458" s="48"/>
      <c r="L458" s="48"/>
    </row>
    <row r="459">
      <c r="C459" s="47"/>
      <c r="F459" s="47"/>
      <c r="K459" s="48"/>
      <c r="L459" s="48"/>
    </row>
    <row r="460">
      <c r="C460" s="47"/>
      <c r="F460" s="47"/>
      <c r="K460" s="48"/>
      <c r="L460" s="48"/>
    </row>
    <row r="461">
      <c r="C461" s="47"/>
      <c r="F461" s="47"/>
      <c r="K461" s="48"/>
      <c r="L461" s="48"/>
    </row>
    <row r="462">
      <c r="C462" s="47"/>
      <c r="F462" s="47"/>
      <c r="K462" s="48"/>
      <c r="L462" s="48"/>
    </row>
    <row r="463">
      <c r="C463" s="47"/>
      <c r="F463" s="47"/>
      <c r="K463" s="48"/>
      <c r="L463" s="48"/>
    </row>
    <row r="464">
      <c r="C464" s="47"/>
      <c r="F464" s="47"/>
      <c r="K464" s="48"/>
      <c r="L464" s="48"/>
    </row>
    <row r="465">
      <c r="C465" s="47"/>
      <c r="F465" s="47"/>
      <c r="K465" s="48"/>
      <c r="L465" s="48"/>
    </row>
    <row r="466">
      <c r="C466" s="47"/>
      <c r="F466" s="47"/>
      <c r="K466" s="48"/>
      <c r="L466" s="48"/>
    </row>
    <row r="467">
      <c r="C467" s="47"/>
      <c r="F467" s="47"/>
      <c r="K467" s="48"/>
      <c r="L467" s="48"/>
    </row>
    <row r="468">
      <c r="C468" s="47"/>
      <c r="F468" s="47"/>
      <c r="K468" s="48"/>
      <c r="L468" s="48"/>
    </row>
    <row r="469">
      <c r="C469" s="47"/>
      <c r="F469" s="47"/>
      <c r="K469" s="48"/>
      <c r="L469" s="48"/>
    </row>
    <row r="470">
      <c r="C470" s="47"/>
      <c r="F470" s="47"/>
      <c r="K470" s="48"/>
      <c r="L470" s="48"/>
    </row>
    <row r="471">
      <c r="C471" s="47"/>
      <c r="F471" s="47"/>
      <c r="K471" s="48"/>
      <c r="L471" s="48"/>
    </row>
    <row r="472">
      <c r="C472" s="47"/>
      <c r="F472" s="47"/>
      <c r="K472" s="48"/>
      <c r="L472" s="48"/>
    </row>
    <row r="473">
      <c r="C473" s="47"/>
      <c r="F473" s="47"/>
      <c r="K473" s="48"/>
      <c r="L473" s="48"/>
    </row>
    <row r="474">
      <c r="C474" s="47"/>
      <c r="F474" s="47"/>
      <c r="K474" s="48"/>
      <c r="L474" s="48"/>
    </row>
    <row r="475">
      <c r="C475" s="47"/>
      <c r="F475" s="47"/>
      <c r="K475" s="48"/>
      <c r="L475" s="48"/>
    </row>
    <row r="476">
      <c r="C476" s="47"/>
      <c r="F476" s="47"/>
      <c r="K476" s="48"/>
      <c r="L476" s="48"/>
    </row>
    <row r="477">
      <c r="C477" s="47"/>
      <c r="F477" s="47"/>
      <c r="K477" s="48"/>
      <c r="L477" s="48"/>
    </row>
    <row r="478">
      <c r="C478" s="47"/>
      <c r="F478" s="47"/>
      <c r="K478" s="48"/>
      <c r="L478" s="48"/>
    </row>
    <row r="479">
      <c r="C479" s="47"/>
      <c r="F479" s="47"/>
      <c r="K479" s="48"/>
      <c r="L479" s="48"/>
    </row>
    <row r="480">
      <c r="C480" s="47"/>
      <c r="F480" s="47"/>
      <c r="K480" s="48"/>
      <c r="L480" s="48"/>
    </row>
    <row r="481">
      <c r="C481" s="47"/>
      <c r="F481" s="47"/>
      <c r="K481" s="48"/>
      <c r="L481" s="48"/>
    </row>
    <row r="482">
      <c r="C482" s="47"/>
      <c r="F482" s="47"/>
      <c r="K482" s="48"/>
      <c r="L482" s="48"/>
    </row>
    <row r="483">
      <c r="C483" s="47"/>
      <c r="F483" s="47"/>
      <c r="K483" s="48"/>
      <c r="L483" s="48"/>
    </row>
    <row r="484">
      <c r="C484" s="47"/>
      <c r="F484" s="47"/>
      <c r="K484" s="48"/>
      <c r="L484" s="48"/>
    </row>
    <row r="485">
      <c r="C485" s="47"/>
      <c r="F485" s="47"/>
      <c r="K485" s="48"/>
      <c r="L485" s="48"/>
    </row>
    <row r="486">
      <c r="C486" s="47"/>
      <c r="F486" s="47"/>
      <c r="K486" s="48"/>
      <c r="L486" s="48"/>
    </row>
    <row r="487">
      <c r="C487" s="47"/>
      <c r="F487" s="47"/>
      <c r="K487" s="48"/>
      <c r="L487" s="48"/>
    </row>
    <row r="488">
      <c r="C488" s="47"/>
      <c r="F488" s="47"/>
      <c r="K488" s="48"/>
      <c r="L488" s="48"/>
    </row>
    <row r="489">
      <c r="C489" s="47"/>
      <c r="F489" s="47"/>
      <c r="K489" s="48"/>
      <c r="L489" s="48"/>
    </row>
    <row r="490">
      <c r="C490" s="47"/>
      <c r="F490" s="47"/>
      <c r="K490" s="48"/>
      <c r="L490" s="48"/>
    </row>
    <row r="491">
      <c r="C491" s="47"/>
      <c r="F491" s="47"/>
      <c r="K491" s="48"/>
      <c r="L491" s="48"/>
    </row>
    <row r="492">
      <c r="C492" s="47"/>
      <c r="F492" s="47"/>
      <c r="K492" s="48"/>
      <c r="L492" s="48"/>
    </row>
    <row r="493">
      <c r="C493" s="47"/>
      <c r="F493" s="47"/>
      <c r="K493" s="48"/>
      <c r="L493" s="48"/>
    </row>
    <row r="494">
      <c r="C494" s="47"/>
      <c r="F494" s="47"/>
      <c r="K494" s="48"/>
      <c r="L494" s="48"/>
    </row>
    <row r="495">
      <c r="C495" s="47"/>
      <c r="F495" s="47"/>
      <c r="K495" s="48"/>
      <c r="L495" s="48"/>
    </row>
    <row r="496">
      <c r="C496" s="47"/>
      <c r="F496" s="47"/>
      <c r="K496" s="48"/>
      <c r="L496" s="48"/>
    </row>
    <row r="497">
      <c r="C497" s="47"/>
      <c r="F497" s="47"/>
      <c r="K497" s="48"/>
      <c r="L497" s="48"/>
    </row>
    <row r="498">
      <c r="C498" s="47"/>
      <c r="F498" s="47"/>
      <c r="K498" s="48"/>
      <c r="L498" s="48"/>
    </row>
    <row r="499">
      <c r="C499" s="47"/>
      <c r="F499" s="47"/>
      <c r="K499" s="48"/>
      <c r="L499" s="48"/>
    </row>
    <row r="500">
      <c r="C500" s="47"/>
      <c r="F500" s="47"/>
      <c r="K500" s="48"/>
      <c r="L500" s="48"/>
    </row>
    <row r="501">
      <c r="C501" s="47"/>
      <c r="F501" s="47"/>
      <c r="K501" s="48"/>
      <c r="L501" s="48"/>
    </row>
    <row r="502">
      <c r="C502" s="47"/>
      <c r="F502" s="47"/>
      <c r="K502" s="48"/>
      <c r="L502" s="48"/>
    </row>
    <row r="503">
      <c r="C503" s="47"/>
      <c r="F503" s="47"/>
      <c r="K503" s="48"/>
      <c r="L503" s="48"/>
    </row>
    <row r="504">
      <c r="C504" s="47"/>
      <c r="F504" s="47"/>
      <c r="K504" s="48"/>
      <c r="L504" s="48"/>
    </row>
    <row r="505">
      <c r="C505" s="47"/>
      <c r="F505" s="47"/>
      <c r="K505" s="48"/>
      <c r="L505" s="48"/>
    </row>
    <row r="506">
      <c r="C506" s="47"/>
      <c r="F506" s="47"/>
      <c r="K506" s="48"/>
      <c r="L506" s="48"/>
    </row>
    <row r="507">
      <c r="C507" s="47"/>
      <c r="F507" s="47"/>
      <c r="K507" s="48"/>
      <c r="L507" s="48"/>
    </row>
    <row r="508">
      <c r="C508" s="47"/>
      <c r="F508" s="47"/>
      <c r="K508" s="48"/>
      <c r="L508" s="48"/>
    </row>
    <row r="509">
      <c r="C509" s="47"/>
      <c r="F509" s="47"/>
      <c r="K509" s="48"/>
      <c r="L509" s="48"/>
    </row>
    <row r="510">
      <c r="C510" s="47"/>
      <c r="F510" s="47"/>
      <c r="K510" s="48"/>
      <c r="L510" s="48"/>
    </row>
    <row r="511">
      <c r="C511" s="47"/>
      <c r="F511" s="47"/>
      <c r="K511" s="48"/>
      <c r="L511" s="48"/>
    </row>
    <row r="512">
      <c r="C512" s="47"/>
      <c r="F512" s="47"/>
      <c r="K512" s="48"/>
      <c r="L512" s="48"/>
    </row>
    <row r="513">
      <c r="C513" s="47"/>
      <c r="F513" s="47"/>
      <c r="K513" s="48"/>
      <c r="L513" s="48"/>
    </row>
    <row r="514">
      <c r="C514" s="47"/>
      <c r="F514" s="47"/>
      <c r="K514" s="48"/>
      <c r="L514" s="48"/>
    </row>
    <row r="515">
      <c r="C515" s="47"/>
      <c r="F515" s="47"/>
      <c r="K515" s="48"/>
      <c r="L515" s="48"/>
    </row>
    <row r="516">
      <c r="C516" s="47"/>
      <c r="F516" s="47"/>
      <c r="K516" s="48"/>
      <c r="L516" s="48"/>
    </row>
    <row r="517">
      <c r="C517" s="47"/>
      <c r="F517" s="47"/>
      <c r="K517" s="48"/>
      <c r="L517" s="48"/>
    </row>
    <row r="518">
      <c r="C518" s="47"/>
      <c r="F518" s="47"/>
      <c r="K518" s="48"/>
      <c r="L518" s="48"/>
    </row>
    <row r="519">
      <c r="C519" s="47"/>
      <c r="F519" s="47"/>
      <c r="K519" s="48"/>
      <c r="L519" s="48"/>
    </row>
    <row r="520">
      <c r="C520" s="47"/>
      <c r="F520" s="47"/>
      <c r="K520" s="48"/>
      <c r="L520" s="48"/>
    </row>
    <row r="521">
      <c r="C521" s="47"/>
      <c r="F521" s="47"/>
      <c r="K521" s="48"/>
      <c r="L521" s="48"/>
    </row>
    <row r="522">
      <c r="C522" s="47"/>
      <c r="F522" s="47"/>
      <c r="K522" s="48"/>
      <c r="L522" s="48"/>
    </row>
    <row r="523">
      <c r="C523" s="47"/>
      <c r="F523" s="47"/>
      <c r="K523" s="48"/>
      <c r="L523" s="48"/>
    </row>
    <row r="524">
      <c r="C524" s="47"/>
      <c r="F524" s="47"/>
      <c r="K524" s="48"/>
      <c r="L524" s="48"/>
    </row>
    <row r="525">
      <c r="C525" s="47"/>
      <c r="F525" s="47"/>
      <c r="K525" s="48"/>
      <c r="L525" s="48"/>
    </row>
    <row r="526">
      <c r="C526" s="47"/>
      <c r="F526" s="47"/>
      <c r="K526" s="48"/>
      <c r="L526" s="48"/>
    </row>
    <row r="527">
      <c r="C527" s="47"/>
      <c r="F527" s="47"/>
      <c r="K527" s="48"/>
      <c r="L527" s="48"/>
    </row>
    <row r="528">
      <c r="C528" s="47"/>
      <c r="F528" s="47"/>
      <c r="K528" s="48"/>
      <c r="L528" s="48"/>
    </row>
    <row r="529">
      <c r="C529" s="47"/>
      <c r="F529" s="47"/>
      <c r="K529" s="48"/>
      <c r="L529" s="48"/>
    </row>
    <row r="530">
      <c r="C530" s="47"/>
      <c r="F530" s="47"/>
      <c r="K530" s="48"/>
      <c r="L530" s="48"/>
    </row>
    <row r="531">
      <c r="C531" s="47"/>
      <c r="F531" s="47"/>
      <c r="K531" s="48"/>
      <c r="L531" s="48"/>
    </row>
    <row r="532">
      <c r="C532" s="47"/>
      <c r="F532" s="47"/>
      <c r="K532" s="48"/>
      <c r="L532" s="48"/>
    </row>
    <row r="533">
      <c r="C533" s="47"/>
      <c r="F533" s="47"/>
      <c r="K533" s="48"/>
      <c r="L533" s="48"/>
    </row>
    <row r="534">
      <c r="C534" s="47"/>
      <c r="F534" s="47"/>
      <c r="K534" s="48"/>
      <c r="L534" s="48"/>
    </row>
    <row r="535">
      <c r="C535" s="47"/>
      <c r="F535" s="47"/>
      <c r="K535" s="48"/>
      <c r="L535" s="48"/>
    </row>
    <row r="536">
      <c r="C536" s="47"/>
      <c r="F536" s="47"/>
      <c r="K536" s="48"/>
      <c r="L536" s="48"/>
    </row>
    <row r="537">
      <c r="C537" s="47"/>
      <c r="F537" s="47"/>
      <c r="K537" s="48"/>
      <c r="L537" s="48"/>
    </row>
    <row r="538">
      <c r="C538" s="47"/>
      <c r="F538" s="47"/>
      <c r="K538" s="48"/>
      <c r="L538" s="48"/>
    </row>
    <row r="539">
      <c r="C539" s="47"/>
      <c r="F539" s="47"/>
      <c r="K539" s="48"/>
      <c r="L539" s="48"/>
    </row>
    <row r="540">
      <c r="C540" s="47"/>
      <c r="F540" s="47"/>
      <c r="K540" s="48"/>
      <c r="L540" s="48"/>
    </row>
    <row r="541">
      <c r="C541" s="47"/>
      <c r="F541" s="47"/>
      <c r="K541" s="48"/>
      <c r="L541" s="48"/>
    </row>
    <row r="542">
      <c r="C542" s="47"/>
      <c r="F542" s="47"/>
      <c r="K542" s="48"/>
      <c r="L542" s="48"/>
    </row>
    <row r="543">
      <c r="C543" s="47"/>
      <c r="F543" s="47"/>
      <c r="K543" s="48"/>
      <c r="L543" s="48"/>
    </row>
    <row r="544">
      <c r="C544" s="47"/>
      <c r="F544" s="47"/>
      <c r="K544" s="48"/>
      <c r="L544" s="48"/>
    </row>
    <row r="545">
      <c r="C545" s="47"/>
      <c r="F545" s="47"/>
      <c r="K545" s="48"/>
      <c r="L545" s="48"/>
    </row>
    <row r="546">
      <c r="C546" s="47"/>
      <c r="F546" s="47"/>
      <c r="K546" s="48"/>
      <c r="L546" s="48"/>
    </row>
    <row r="547">
      <c r="C547" s="47"/>
      <c r="F547" s="47"/>
      <c r="K547" s="48"/>
      <c r="L547" s="48"/>
    </row>
    <row r="548">
      <c r="C548" s="47"/>
      <c r="F548" s="47"/>
      <c r="K548" s="48"/>
      <c r="L548" s="48"/>
    </row>
    <row r="549">
      <c r="C549" s="47"/>
      <c r="F549" s="47"/>
      <c r="K549" s="48"/>
      <c r="L549" s="48"/>
    </row>
    <row r="550">
      <c r="C550" s="47"/>
      <c r="F550" s="47"/>
      <c r="K550" s="48"/>
      <c r="L550" s="48"/>
    </row>
    <row r="551">
      <c r="C551" s="47"/>
      <c r="F551" s="47"/>
      <c r="K551" s="48"/>
      <c r="L551" s="48"/>
    </row>
    <row r="552">
      <c r="C552" s="47"/>
      <c r="F552" s="47"/>
      <c r="K552" s="48"/>
      <c r="L552" s="48"/>
    </row>
    <row r="553">
      <c r="C553" s="47"/>
      <c r="F553" s="47"/>
      <c r="K553" s="48"/>
      <c r="L553" s="48"/>
    </row>
    <row r="554">
      <c r="C554" s="47"/>
      <c r="F554" s="47"/>
      <c r="K554" s="48"/>
      <c r="L554" s="48"/>
    </row>
    <row r="555">
      <c r="C555" s="47"/>
      <c r="F555" s="47"/>
      <c r="K555" s="48"/>
      <c r="L555" s="48"/>
    </row>
    <row r="556">
      <c r="C556" s="47"/>
      <c r="F556" s="47"/>
      <c r="K556" s="48"/>
      <c r="L556" s="48"/>
    </row>
    <row r="557">
      <c r="C557" s="47"/>
      <c r="F557" s="47"/>
      <c r="K557" s="48"/>
      <c r="L557" s="48"/>
    </row>
    <row r="558">
      <c r="C558" s="47"/>
      <c r="F558" s="47"/>
      <c r="K558" s="48"/>
      <c r="L558" s="48"/>
    </row>
    <row r="559">
      <c r="C559" s="47"/>
      <c r="F559" s="47"/>
      <c r="K559" s="48"/>
      <c r="L559" s="48"/>
    </row>
    <row r="560">
      <c r="C560" s="47"/>
      <c r="F560" s="47"/>
      <c r="K560" s="48"/>
      <c r="L560" s="48"/>
    </row>
    <row r="561">
      <c r="C561" s="47"/>
      <c r="F561" s="47"/>
      <c r="K561" s="48"/>
      <c r="L561" s="48"/>
    </row>
    <row r="562">
      <c r="C562" s="47"/>
      <c r="F562" s="47"/>
      <c r="K562" s="48"/>
      <c r="L562" s="48"/>
    </row>
    <row r="563">
      <c r="C563" s="47"/>
      <c r="F563" s="47"/>
      <c r="K563" s="48"/>
      <c r="L563" s="48"/>
    </row>
    <row r="564">
      <c r="C564" s="47"/>
      <c r="F564" s="47"/>
      <c r="K564" s="48"/>
      <c r="L564" s="48"/>
    </row>
    <row r="565">
      <c r="C565" s="47"/>
      <c r="F565" s="47"/>
      <c r="K565" s="48"/>
      <c r="L565" s="48"/>
    </row>
    <row r="566">
      <c r="C566" s="47"/>
      <c r="F566" s="47"/>
      <c r="K566" s="48"/>
      <c r="L566" s="48"/>
    </row>
    <row r="567">
      <c r="C567" s="47"/>
      <c r="F567" s="47"/>
      <c r="K567" s="48"/>
      <c r="L567" s="48"/>
    </row>
    <row r="568">
      <c r="C568" s="47"/>
      <c r="F568" s="47"/>
      <c r="K568" s="48"/>
      <c r="L568" s="48"/>
    </row>
    <row r="569">
      <c r="C569" s="47"/>
      <c r="F569" s="47"/>
      <c r="K569" s="48"/>
      <c r="L569" s="48"/>
    </row>
    <row r="570">
      <c r="C570" s="47"/>
      <c r="F570" s="47"/>
      <c r="K570" s="48"/>
      <c r="L570" s="48"/>
    </row>
    <row r="571">
      <c r="C571" s="47"/>
      <c r="F571" s="47"/>
      <c r="K571" s="48"/>
      <c r="L571" s="48"/>
    </row>
    <row r="572">
      <c r="C572" s="47"/>
      <c r="F572" s="47"/>
      <c r="K572" s="48"/>
      <c r="L572" s="48"/>
    </row>
    <row r="573">
      <c r="C573" s="47"/>
      <c r="F573" s="47"/>
      <c r="K573" s="48"/>
      <c r="L573" s="48"/>
    </row>
    <row r="574">
      <c r="C574" s="47"/>
      <c r="F574" s="47"/>
      <c r="K574" s="48"/>
      <c r="L574" s="48"/>
    </row>
    <row r="575">
      <c r="C575" s="47"/>
      <c r="F575" s="47"/>
      <c r="K575" s="48"/>
      <c r="L575" s="48"/>
    </row>
    <row r="576">
      <c r="C576" s="47"/>
      <c r="F576" s="47"/>
      <c r="K576" s="48"/>
      <c r="L576" s="48"/>
    </row>
    <row r="577">
      <c r="C577" s="47"/>
      <c r="F577" s="47"/>
      <c r="K577" s="48"/>
      <c r="L577" s="48"/>
    </row>
    <row r="578">
      <c r="C578" s="47"/>
      <c r="F578" s="47"/>
      <c r="K578" s="48"/>
      <c r="L578" s="48"/>
    </row>
    <row r="579">
      <c r="C579" s="47"/>
      <c r="F579" s="47"/>
      <c r="K579" s="48"/>
      <c r="L579" s="48"/>
    </row>
    <row r="580">
      <c r="C580" s="47"/>
      <c r="F580" s="47"/>
      <c r="K580" s="48"/>
      <c r="L580" s="48"/>
    </row>
    <row r="581">
      <c r="C581" s="47"/>
      <c r="F581" s="47"/>
      <c r="K581" s="48"/>
      <c r="L581" s="48"/>
    </row>
    <row r="582">
      <c r="C582" s="47"/>
      <c r="F582" s="47"/>
      <c r="K582" s="48"/>
      <c r="L582" s="48"/>
    </row>
    <row r="583">
      <c r="C583" s="47"/>
      <c r="F583" s="47"/>
      <c r="K583" s="48"/>
      <c r="L583" s="48"/>
    </row>
    <row r="584">
      <c r="C584" s="47"/>
      <c r="F584" s="47"/>
      <c r="K584" s="48"/>
      <c r="L584" s="48"/>
    </row>
    <row r="585">
      <c r="C585" s="47"/>
      <c r="F585" s="47"/>
      <c r="K585" s="48"/>
      <c r="L585" s="48"/>
    </row>
    <row r="586">
      <c r="C586" s="47"/>
      <c r="F586" s="47"/>
      <c r="K586" s="48"/>
      <c r="L586" s="48"/>
    </row>
    <row r="587">
      <c r="C587" s="47"/>
      <c r="F587" s="47"/>
      <c r="K587" s="48"/>
      <c r="L587" s="48"/>
    </row>
    <row r="588">
      <c r="C588" s="47"/>
      <c r="F588" s="47"/>
      <c r="K588" s="48"/>
      <c r="L588" s="48"/>
    </row>
    <row r="589">
      <c r="C589" s="47"/>
      <c r="F589" s="47"/>
      <c r="K589" s="48"/>
      <c r="L589" s="48"/>
    </row>
    <row r="590">
      <c r="C590" s="47"/>
      <c r="F590" s="47"/>
      <c r="K590" s="48"/>
      <c r="L590" s="48"/>
    </row>
    <row r="591">
      <c r="C591" s="47"/>
      <c r="F591" s="47"/>
      <c r="K591" s="48"/>
      <c r="L591" s="48"/>
    </row>
    <row r="592">
      <c r="C592" s="47"/>
      <c r="F592" s="47"/>
      <c r="K592" s="48"/>
      <c r="L592" s="48"/>
    </row>
    <row r="593">
      <c r="C593" s="47"/>
      <c r="F593" s="47"/>
      <c r="K593" s="48"/>
      <c r="L593" s="48"/>
    </row>
    <row r="594">
      <c r="C594" s="47"/>
      <c r="F594" s="47"/>
      <c r="K594" s="48"/>
      <c r="L594" s="48"/>
    </row>
    <row r="595">
      <c r="C595" s="47"/>
      <c r="F595" s="47"/>
      <c r="K595" s="48"/>
      <c r="L595" s="48"/>
    </row>
    <row r="596">
      <c r="C596" s="47"/>
      <c r="F596" s="47"/>
      <c r="K596" s="48"/>
      <c r="L596" s="48"/>
    </row>
    <row r="597">
      <c r="C597" s="47"/>
      <c r="F597" s="47"/>
      <c r="K597" s="48"/>
      <c r="L597" s="48"/>
    </row>
    <row r="598">
      <c r="C598" s="47"/>
      <c r="F598" s="47"/>
      <c r="K598" s="48"/>
      <c r="L598" s="48"/>
    </row>
    <row r="599">
      <c r="C599" s="47"/>
      <c r="F599" s="47"/>
      <c r="K599" s="48"/>
      <c r="L599" s="48"/>
    </row>
    <row r="600">
      <c r="C600" s="47"/>
      <c r="F600" s="47"/>
      <c r="K600" s="48"/>
      <c r="L600" s="48"/>
    </row>
    <row r="601">
      <c r="C601" s="47"/>
      <c r="F601" s="47"/>
      <c r="K601" s="48"/>
      <c r="L601" s="48"/>
    </row>
    <row r="602">
      <c r="C602" s="47"/>
      <c r="F602" s="47"/>
      <c r="K602" s="48"/>
      <c r="L602" s="48"/>
    </row>
    <row r="603">
      <c r="C603" s="47"/>
      <c r="F603" s="47"/>
      <c r="K603" s="48"/>
      <c r="L603" s="48"/>
    </row>
    <row r="604">
      <c r="C604" s="47"/>
      <c r="F604" s="47"/>
      <c r="K604" s="48"/>
      <c r="L604" s="48"/>
    </row>
    <row r="605">
      <c r="C605" s="47"/>
      <c r="F605" s="47"/>
      <c r="K605" s="48"/>
      <c r="L605" s="48"/>
    </row>
    <row r="606">
      <c r="C606" s="47"/>
      <c r="F606" s="47"/>
      <c r="K606" s="48"/>
      <c r="L606" s="48"/>
    </row>
    <row r="607">
      <c r="C607" s="47"/>
      <c r="F607" s="47"/>
      <c r="K607" s="48"/>
      <c r="L607" s="48"/>
    </row>
    <row r="608">
      <c r="C608" s="47"/>
      <c r="F608" s="47"/>
      <c r="K608" s="48"/>
      <c r="L608" s="48"/>
    </row>
    <row r="609">
      <c r="C609" s="47"/>
      <c r="F609" s="47"/>
      <c r="K609" s="48"/>
      <c r="L609" s="48"/>
    </row>
    <row r="610">
      <c r="C610" s="47"/>
      <c r="F610" s="47"/>
      <c r="K610" s="48"/>
      <c r="L610" s="48"/>
    </row>
    <row r="611">
      <c r="C611" s="47"/>
      <c r="F611" s="47"/>
      <c r="K611" s="48"/>
      <c r="L611" s="48"/>
    </row>
    <row r="612">
      <c r="C612" s="47"/>
      <c r="F612" s="47"/>
      <c r="K612" s="48"/>
      <c r="L612" s="48"/>
    </row>
    <row r="613">
      <c r="C613" s="47"/>
      <c r="F613" s="47"/>
      <c r="K613" s="48"/>
      <c r="L613" s="48"/>
    </row>
    <row r="614">
      <c r="C614" s="47"/>
      <c r="F614" s="47"/>
      <c r="K614" s="48"/>
      <c r="L614" s="48"/>
    </row>
    <row r="615">
      <c r="C615" s="47"/>
      <c r="F615" s="47"/>
      <c r="K615" s="48"/>
      <c r="L615" s="48"/>
    </row>
    <row r="616">
      <c r="C616" s="47"/>
      <c r="F616" s="47"/>
      <c r="K616" s="48"/>
      <c r="L616" s="48"/>
    </row>
    <row r="617">
      <c r="C617" s="47"/>
      <c r="F617" s="47"/>
      <c r="K617" s="48"/>
      <c r="L617" s="48"/>
    </row>
    <row r="618">
      <c r="C618" s="47"/>
      <c r="F618" s="47"/>
      <c r="K618" s="48"/>
      <c r="L618" s="48"/>
    </row>
    <row r="619">
      <c r="C619" s="47"/>
      <c r="F619" s="47"/>
      <c r="K619" s="48"/>
      <c r="L619" s="48"/>
    </row>
    <row r="620">
      <c r="C620" s="47"/>
      <c r="F620" s="47"/>
      <c r="K620" s="48"/>
      <c r="L620" s="48"/>
    </row>
    <row r="621">
      <c r="C621" s="47"/>
      <c r="F621" s="47"/>
      <c r="K621" s="48"/>
      <c r="L621" s="48"/>
    </row>
    <row r="622">
      <c r="C622" s="47"/>
      <c r="F622" s="47"/>
      <c r="K622" s="48"/>
      <c r="L622" s="48"/>
    </row>
    <row r="623">
      <c r="C623" s="47"/>
      <c r="F623" s="47"/>
      <c r="K623" s="48"/>
      <c r="L623" s="48"/>
    </row>
    <row r="624">
      <c r="C624" s="47"/>
      <c r="F624" s="47"/>
      <c r="K624" s="48"/>
      <c r="L624" s="48"/>
    </row>
    <row r="625">
      <c r="C625" s="47"/>
      <c r="F625" s="47"/>
      <c r="K625" s="48"/>
      <c r="L625" s="48"/>
    </row>
    <row r="626">
      <c r="C626" s="47"/>
      <c r="F626" s="47"/>
      <c r="K626" s="48"/>
      <c r="L626" s="48"/>
    </row>
    <row r="627">
      <c r="C627" s="47"/>
      <c r="F627" s="47"/>
      <c r="K627" s="48"/>
      <c r="L627" s="48"/>
    </row>
    <row r="628">
      <c r="C628" s="47"/>
      <c r="F628" s="47"/>
      <c r="K628" s="48"/>
      <c r="L628" s="48"/>
    </row>
    <row r="629">
      <c r="C629" s="47"/>
      <c r="F629" s="47"/>
      <c r="K629" s="48"/>
      <c r="L629" s="48"/>
    </row>
    <row r="630">
      <c r="C630" s="47"/>
      <c r="F630" s="47"/>
      <c r="K630" s="48"/>
      <c r="L630" s="48"/>
    </row>
    <row r="631">
      <c r="C631" s="47"/>
      <c r="F631" s="47"/>
      <c r="K631" s="48"/>
      <c r="L631" s="48"/>
    </row>
    <row r="632">
      <c r="C632" s="47"/>
      <c r="F632" s="47"/>
      <c r="K632" s="48"/>
      <c r="L632" s="48"/>
    </row>
    <row r="633">
      <c r="C633" s="47"/>
      <c r="F633" s="47"/>
      <c r="K633" s="48"/>
      <c r="L633" s="48"/>
    </row>
    <row r="634">
      <c r="C634" s="47"/>
      <c r="F634" s="47"/>
      <c r="K634" s="48"/>
      <c r="L634" s="48"/>
    </row>
    <row r="635">
      <c r="C635" s="47"/>
      <c r="F635" s="47"/>
      <c r="K635" s="48"/>
      <c r="L635" s="48"/>
    </row>
    <row r="636">
      <c r="C636" s="47"/>
      <c r="F636" s="47"/>
      <c r="K636" s="48"/>
      <c r="L636" s="48"/>
    </row>
    <row r="637">
      <c r="C637" s="47"/>
      <c r="F637" s="47"/>
      <c r="K637" s="48"/>
      <c r="L637" s="48"/>
    </row>
    <row r="638">
      <c r="C638" s="47"/>
      <c r="F638" s="47"/>
      <c r="K638" s="48"/>
      <c r="L638" s="48"/>
    </row>
    <row r="639">
      <c r="C639" s="47"/>
      <c r="F639" s="47"/>
      <c r="K639" s="48"/>
      <c r="L639" s="48"/>
    </row>
    <row r="640">
      <c r="C640" s="47"/>
      <c r="F640" s="47"/>
      <c r="K640" s="48"/>
      <c r="L640" s="48"/>
    </row>
    <row r="641">
      <c r="C641" s="47"/>
      <c r="F641" s="47"/>
      <c r="K641" s="48"/>
      <c r="L641" s="48"/>
    </row>
    <row r="642">
      <c r="C642" s="47"/>
      <c r="F642" s="47"/>
      <c r="K642" s="48"/>
      <c r="L642" s="48"/>
    </row>
    <row r="643">
      <c r="C643" s="47"/>
      <c r="F643" s="47"/>
      <c r="K643" s="48"/>
      <c r="L643" s="48"/>
    </row>
    <row r="644">
      <c r="C644" s="47"/>
      <c r="F644" s="47"/>
      <c r="K644" s="48"/>
      <c r="L644" s="48"/>
    </row>
    <row r="645">
      <c r="C645" s="47"/>
      <c r="F645" s="47"/>
      <c r="K645" s="48"/>
      <c r="L645" s="48"/>
    </row>
    <row r="646">
      <c r="C646" s="47"/>
      <c r="F646" s="47"/>
      <c r="K646" s="48"/>
      <c r="L646" s="48"/>
    </row>
    <row r="647">
      <c r="C647" s="47"/>
      <c r="F647" s="47"/>
      <c r="K647" s="48"/>
      <c r="L647" s="48"/>
    </row>
    <row r="648">
      <c r="C648" s="47"/>
      <c r="F648" s="47"/>
      <c r="K648" s="48"/>
      <c r="L648" s="48"/>
    </row>
    <row r="649">
      <c r="C649" s="47"/>
      <c r="F649" s="47"/>
      <c r="K649" s="48"/>
      <c r="L649" s="48"/>
    </row>
    <row r="650">
      <c r="C650" s="47"/>
      <c r="F650" s="47"/>
      <c r="K650" s="48"/>
      <c r="L650" s="48"/>
    </row>
    <row r="651">
      <c r="C651" s="47"/>
      <c r="F651" s="47"/>
      <c r="K651" s="48"/>
      <c r="L651" s="48"/>
    </row>
    <row r="652">
      <c r="C652" s="47"/>
      <c r="F652" s="47"/>
      <c r="K652" s="48"/>
      <c r="L652" s="48"/>
    </row>
    <row r="653">
      <c r="C653" s="47"/>
      <c r="F653" s="47"/>
      <c r="K653" s="48"/>
      <c r="L653" s="48"/>
    </row>
    <row r="654">
      <c r="C654" s="47"/>
      <c r="F654" s="47"/>
      <c r="K654" s="48"/>
      <c r="L654" s="48"/>
    </row>
    <row r="655">
      <c r="C655" s="47"/>
      <c r="F655" s="47"/>
      <c r="K655" s="48"/>
      <c r="L655" s="48"/>
    </row>
    <row r="656">
      <c r="C656" s="47"/>
      <c r="F656" s="47"/>
      <c r="K656" s="48"/>
      <c r="L656" s="48"/>
    </row>
    <row r="657">
      <c r="C657" s="47"/>
      <c r="F657" s="47"/>
      <c r="K657" s="48"/>
      <c r="L657" s="48"/>
    </row>
    <row r="658">
      <c r="C658" s="47"/>
      <c r="F658" s="47"/>
      <c r="K658" s="48"/>
      <c r="L658" s="48"/>
    </row>
    <row r="659">
      <c r="C659" s="47"/>
      <c r="F659" s="47"/>
      <c r="K659" s="48"/>
      <c r="L659" s="48"/>
    </row>
    <row r="660">
      <c r="C660" s="47"/>
      <c r="F660" s="47"/>
      <c r="K660" s="48"/>
      <c r="L660" s="48"/>
    </row>
    <row r="661">
      <c r="C661" s="47"/>
      <c r="F661" s="47"/>
      <c r="K661" s="48"/>
      <c r="L661" s="48"/>
    </row>
    <row r="662">
      <c r="C662" s="47"/>
      <c r="F662" s="47"/>
      <c r="K662" s="48"/>
      <c r="L662" s="48"/>
    </row>
    <row r="663">
      <c r="C663" s="47"/>
      <c r="F663" s="47"/>
      <c r="K663" s="48"/>
      <c r="L663" s="48"/>
    </row>
    <row r="664">
      <c r="C664" s="47"/>
      <c r="F664" s="47"/>
      <c r="K664" s="48"/>
      <c r="L664" s="48"/>
    </row>
    <row r="665">
      <c r="C665" s="47"/>
      <c r="F665" s="47"/>
      <c r="K665" s="48"/>
      <c r="L665" s="48"/>
    </row>
    <row r="666">
      <c r="C666" s="47"/>
      <c r="F666" s="47"/>
      <c r="K666" s="48"/>
      <c r="L666" s="48"/>
    </row>
    <row r="667">
      <c r="C667" s="47"/>
      <c r="F667" s="47"/>
      <c r="K667" s="48"/>
      <c r="L667" s="48"/>
    </row>
    <row r="668">
      <c r="C668" s="47"/>
      <c r="F668" s="47"/>
      <c r="K668" s="48"/>
      <c r="L668" s="48"/>
    </row>
    <row r="669">
      <c r="C669" s="47"/>
      <c r="F669" s="47"/>
      <c r="K669" s="48"/>
      <c r="L669" s="48"/>
    </row>
    <row r="670">
      <c r="C670" s="47"/>
      <c r="F670" s="47"/>
      <c r="K670" s="48"/>
      <c r="L670" s="48"/>
    </row>
    <row r="671">
      <c r="C671" s="47"/>
      <c r="F671" s="47"/>
      <c r="K671" s="48"/>
      <c r="L671" s="48"/>
    </row>
    <row r="672">
      <c r="C672" s="47"/>
      <c r="F672" s="47"/>
      <c r="K672" s="48"/>
      <c r="L672" s="48"/>
    </row>
    <row r="673">
      <c r="C673" s="47"/>
      <c r="F673" s="47"/>
      <c r="K673" s="48"/>
      <c r="L673" s="48"/>
    </row>
    <row r="674">
      <c r="C674" s="47"/>
      <c r="F674" s="47"/>
      <c r="K674" s="48"/>
      <c r="L674" s="48"/>
    </row>
    <row r="675">
      <c r="C675" s="47"/>
      <c r="F675" s="47"/>
      <c r="K675" s="48"/>
      <c r="L675" s="48"/>
    </row>
    <row r="676">
      <c r="C676" s="47"/>
      <c r="F676" s="47"/>
      <c r="K676" s="48"/>
      <c r="L676" s="48"/>
    </row>
    <row r="677">
      <c r="C677" s="47"/>
      <c r="F677" s="47"/>
      <c r="K677" s="48"/>
      <c r="L677" s="48"/>
    </row>
    <row r="678">
      <c r="C678" s="47"/>
      <c r="F678" s="47"/>
      <c r="K678" s="48"/>
      <c r="L678" s="48"/>
    </row>
    <row r="679">
      <c r="C679" s="47"/>
      <c r="F679" s="47"/>
      <c r="K679" s="48"/>
      <c r="L679" s="48"/>
    </row>
    <row r="680">
      <c r="C680" s="47"/>
      <c r="F680" s="47"/>
      <c r="K680" s="48"/>
      <c r="L680" s="48"/>
    </row>
    <row r="681">
      <c r="C681" s="47"/>
      <c r="F681" s="47"/>
      <c r="K681" s="48"/>
      <c r="L681" s="48"/>
    </row>
    <row r="682">
      <c r="C682" s="47"/>
      <c r="F682" s="47"/>
      <c r="K682" s="48"/>
      <c r="L682" s="48"/>
    </row>
    <row r="683">
      <c r="C683" s="47"/>
      <c r="F683" s="47"/>
      <c r="K683" s="48"/>
      <c r="L683" s="48"/>
    </row>
    <row r="684">
      <c r="C684" s="47"/>
      <c r="F684" s="47"/>
      <c r="K684" s="48"/>
      <c r="L684" s="48"/>
    </row>
    <row r="685">
      <c r="C685" s="47"/>
      <c r="F685" s="47"/>
      <c r="K685" s="48"/>
      <c r="L685" s="48"/>
    </row>
    <row r="686">
      <c r="C686" s="47"/>
      <c r="F686" s="47"/>
      <c r="K686" s="48"/>
      <c r="L686" s="48"/>
    </row>
    <row r="687">
      <c r="C687" s="47"/>
      <c r="F687" s="47"/>
      <c r="K687" s="48"/>
      <c r="L687" s="48"/>
    </row>
    <row r="688">
      <c r="C688" s="47"/>
      <c r="F688" s="47"/>
      <c r="K688" s="48"/>
      <c r="L688" s="48"/>
    </row>
    <row r="689">
      <c r="C689" s="47"/>
      <c r="F689" s="47"/>
      <c r="K689" s="48"/>
      <c r="L689" s="48"/>
    </row>
    <row r="690">
      <c r="C690" s="47"/>
      <c r="F690" s="47"/>
      <c r="K690" s="48"/>
      <c r="L690" s="48"/>
    </row>
    <row r="691">
      <c r="C691" s="47"/>
      <c r="F691" s="47"/>
      <c r="K691" s="48"/>
      <c r="L691" s="48"/>
    </row>
    <row r="692">
      <c r="C692" s="47"/>
      <c r="F692" s="47"/>
      <c r="K692" s="48"/>
      <c r="L692" s="48"/>
    </row>
    <row r="693">
      <c r="C693" s="47"/>
      <c r="F693" s="47"/>
      <c r="K693" s="48"/>
      <c r="L693" s="48"/>
    </row>
    <row r="694">
      <c r="C694" s="47"/>
      <c r="F694" s="47"/>
      <c r="K694" s="48"/>
      <c r="L694" s="48"/>
    </row>
    <row r="695">
      <c r="C695" s="47"/>
      <c r="F695" s="47"/>
      <c r="K695" s="48"/>
      <c r="L695" s="48"/>
    </row>
    <row r="696">
      <c r="C696" s="47"/>
      <c r="F696" s="47"/>
      <c r="K696" s="48"/>
      <c r="L696" s="48"/>
    </row>
    <row r="697">
      <c r="C697" s="47"/>
      <c r="F697" s="47"/>
      <c r="K697" s="48"/>
      <c r="L697" s="48"/>
    </row>
    <row r="698">
      <c r="C698" s="47"/>
      <c r="F698" s="47"/>
      <c r="K698" s="48"/>
      <c r="L698" s="48"/>
    </row>
    <row r="699">
      <c r="C699" s="47"/>
      <c r="F699" s="47"/>
      <c r="K699" s="48"/>
      <c r="L699" s="48"/>
    </row>
    <row r="700">
      <c r="C700" s="47"/>
      <c r="F700" s="47"/>
      <c r="K700" s="48"/>
      <c r="L700" s="48"/>
    </row>
    <row r="701">
      <c r="C701" s="47"/>
      <c r="F701" s="47"/>
      <c r="K701" s="48"/>
      <c r="L701" s="48"/>
    </row>
    <row r="702">
      <c r="C702" s="47"/>
      <c r="F702" s="47"/>
      <c r="K702" s="48"/>
      <c r="L702" s="48"/>
    </row>
    <row r="703">
      <c r="C703" s="47"/>
      <c r="F703" s="47"/>
      <c r="K703" s="48"/>
      <c r="L703" s="48"/>
    </row>
    <row r="704">
      <c r="C704" s="47"/>
      <c r="F704" s="47"/>
      <c r="K704" s="48"/>
      <c r="L704" s="48"/>
    </row>
    <row r="705">
      <c r="C705" s="47"/>
      <c r="F705" s="47"/>
      <c r="K705" s="48"/>
      <c r="L705" s="48"/>
    </row>
    <row r="706">
      <c r="C706" s="47"/>
      <c r="F706" s="47"/>
      <c r="K706" s="48"/>
      <c r="L706" s="48"/>
    </row>
    <row r="707">
      <c r="C707" s="47"/>
      <c r="F707" s="47"/>
      <c r="K707" s="48"/>
      <c r="L707" s="48"/>
    </row>
    <row r="708">
      <c r="C708" s="47"/>
      <c r="F708" s="47"/>
      <c r="K708" s="48"/>
      <c r="L708" s="48"/>
    </row>
    <row r="709">
      <c r="C709" s="47"/>
      <c r="F709" s="47"/>
      <c r="K709" s="48"/>
      <c r="L709" s="48"/>
    </row>
    <row r="710">
      <c r="C710" s="47"/>
      <c r="F710" s="47"/>
      <c r="K710" s="48"/>
      <c r="L710" s="48"/>
    </row>
    <row r="711">
      <c r="C711" s="47"/>
      <c r="F711" s="47"/>
      <c r="K711" s="48"/>
      <c r="L711" s="48"/>
    </row>
    <row r="712">
      <c r="C712" s="47"/>
      <c r="F712" s="47"/>
      <c r="K712" s="48"/>
      <c r="L712" s="48"/>
    </row>
    <row r="713">
      <c r="C713" s="47"/>
      <c r="F713" s="47"/>
      <c r="K713" s="48"/>
      <c r="L713" s="48"/>
    </row>
    <row r="714">
      <c r="C714" s="47"/>
      <c r="F714" s="47"/>
      <c r="K714" s="48"/>
      <c r="L714" s="48"/>
    </row>
    <row r="715">
      <c r="C715" s="47"/>
      <c r="F715" s="47"/>
      <c r="K715" s="48"/>
      <c r="L715" s="48"/>
    </row>
    <row r="716">
      <c r="C716" s="47"/>
      <c r="F716" s="47"/>
      <c r="K716" s="48"/>
      <c r="L716" s="48"/>
    </row>
    <row r="717">
      <c r="C717" s="47"/>
      <c r="F717" s="47"/>
      <c r="K717" s="48"/>
      <c r="L717" s="48"/>
    </row>
    <row r="718">
      <c r="C718" s="47"/>
      <c r="F718" s="47"/>
      <c r="K718" s="48"/>
      <c r="L718" s="48"/>
    </row>
    <row r="719">
      <c r="C719" s="47"/>
      <c r="F719" s="47"/>
      <c r="K719" s="48"/>
      <c r="L719" s="48"/>
    </row>
    <row r="720">
      <c r="C720" s="47"/>
      <c r="F720" s="47"/>
      <c r="K720" s="48"/>
      <c r="L720" s="48"/>
    </row>
    <row r="721">
      <c r="C721" s="47"/>
      <c r="F721" s="47"/>
      <c r="K721" s="48"/>
      <c r="L721" s="48"/>
    </row>
    <row r="722">
      <c r="C722" s="47"/>
      <c r="F722" s="47"/>
      <c r="K722" s="48"/>
      <c r="L722" s="48"/>
    </row>
    <row r="723">
      <c r="C723" s="47"/>
      <c r="F723" s="47"/>
      <c r="K723" s="48"/>
      <c r="L723" s="48"/>
    </row>
    <row r="724">
      <c r="C724" s="47"/>
      <c r="F724" s="47"/>
      <c r="K724" s="48"/>
      <c r="L724" s="48"/>
    </row>
    <row r="725">
      <c r="C725" s="47"/>
      <c r="F725" s="47"/>
      <c r="K725" s="48"/>
      <c r="L725" s="48"/>
    </row>
    <row r="726">
      <c r="C726" s="47"/>
      <c r="F726" s="47"/>
      <c r="K726" s="48"/>
      <c r="L726" s="48"/>
    </row>
    <row r="727">
      <c r="C727" s="47"/>
      <c r="F727" s="47"/>
      <c r="K727" s="48"/>
      <c r="L727" s="48"/>
    </row>
    <row r="728">
      <c r="C728" s="47"/>
      <c r="F728" s="47"/>
      <c r="K728" s="48"/>
      <c r="L728" s="48"/>
    </row>
    <row r="729">
      <c r="C729" s="47"/>
      <c r="F729" s="47"/>
      <c r="K729" s="48"/>
      <c r="L729" s="48"/>
    </row>
    <row r="730">
      <c r="C730" s="47"/>
      <c r="F730" s="47"/>
      <c r="K730" s="48"/>
      <c r="L730" s="48"/>
    </row>
    <row r="731">
      <c r="C731" s="47"/>
      <c r="F731" s="47"/>
      <c r="K731" s="48"/>
      <c r="L731" s="48"/>
    </row>
    <row r="732">
      <c r="C732" s="47"/>
      <c r="F732" s="47"/>
      <c r="K732" s="48"/>
      <c r="L732" s="48"/>
    </row>
    <row r="733">
      <c r="C733" s="47"/>
      <c r="F733" s="47"/>
      <c r="K733" s="48"/>
      <c r="L733" s="48"/>
    </row>
    <row r="734">
      <c r="C734" s="47"/>
      <c r="F734" s="47"/>
      <c r="K734" s="48"/>
      <c r="L734" s="48"/>
    </row>
    <row r="735">
      <c r="C735" s="47"/>
      <c r="F735" s="47"/>
      <c r="K735" s="48"/>
      <c r="L735" s="48"/>
    </row>
    <row r="736">
      <c r="C736" s="47"/>
      <c r="F736" s="47"/>
      <c r="K736" s="48"/>
      <c r="L736" s="48"/>
    </row>
    <row r="737">
      <c r="C737" s="47"/>
      <c r="F737" s="47"/>
      <c r="K737" s="48"/>
      <c r="L737" s="48"/>
    </row>
    <row r="738">
      <c r="C738" s="47"/>
      <c r="F738" s="47"/>
      <c r="K738" s="48"/>
      <c r="L738" s="48"/>
    </row>
    <row r="739">
      <c r="C739" s="47"/>
      <c r="F739" s="47"/>
      <c r="K739" s="48"/>
      <c r="L739" s="48"/>
    </row>
    <row r="740">
      <c r="C740" s="47"/>
      <c r="F740" s="47"/>
      <c r="K740" s="48"/>
      <c r="L740" s="48"/>
    </row>
    <row r="741">
      <c r="C741" s="47"/>
      <c r="F741" s="47"/>
      <c r="K741" s="48"/>
      <c r="L741" s="48"/>
    </row>
    <row r="742">
      <c r="C742" s="47"/>
      <c r="F742" s="47"/>
      <c r="K742" s="48"/>
      <c r="L742" s="48"/>
    </row>
    <row r="743">
      <c r="C743" s="47"/>
      <c r="F743" s="47"/>
      <c r="K743" s="48"/>
      <c r="L743" s="48"/>
    </row>
    <row r="744">
      <c r="C744" s="47"/>
      <c r="F744" s="47"/>
      <c r="K744" s="48"/>
      <c r="L744" s="48"/>
    </row>
    <row r="745">
      <c r="C745" s="47"/>
      <c r="F745" s="47"/>
      <c r="K745" s="48"/>
      <c r="L745" s="48"/>
    </row>
    <row r="746">
      <c r="C746" s="47"/>
      <c r="F746" s="47"/>
      <c r="K746" s="48"/>
      <c r="L746" s="48"/>
    </row>
    <row r="747">
      <c r="C747" s="47"/>
      <c r="F747" s="47"/>
      <c r="K747" s="48"/>
      <c r="L747" s="48"/>
    </row>
    <row r="748">
      <c r="C748" s="47"/>
      <c r="F748" s="47"/>
      <c r="K748" s="48"/>
      <c r="L748" s="48"/>
    </row>
    <row r="749">
      <c r="C749" s="47"/>
      <c r="F749" s="47"/>
      <c r="K749" s="48"/>
      <c r="L749" s="48"/>
    </row>
    <row r="750">
      <c r="C750" s="47"/>
      <c r="F750" s="47"/>
      <c r="K750" s="48"/>
      <c r="L750" s="48"/>
    </row>
    <row r="751">
      <c r="C751" s="47"/>
      <c r="F751" s="47"/>
      <c r="K751" s="48"/>
      <c r="L751" s="48"/>
    </row>
    <row r="752">
      <c r="C752" s="47"/>
      <c r="F752" s="47"/>
      <c r="K752" s="48"/>
      <c r="L752" s="48"/>
    </row>
    <row r="753">
      <c r="C753" s="47"/>
      <c r="F753" s="47"/>
      <c r="K753" s="48"/>
      <c r="L753" s="48"/>
    </row>
    <row r="754">
      <c r="C754" s="47"/>
      <c r="F754" s="47"/>
      <c r="K754" s="48"/>
      <c r="L754" s="48"/>
    </row>
    <row r="755">
      <c r="C755" s="47"/>
      <c r="F755" s="47"/>
      <c r="K755" s="48"/>
      <c r="L755" s="48"/>
    </row>
    <row r="756">
      <c r="C756" s="47"/>
      <c r="F756" s="47"/>
      <c r="K756" s="48"/>
      <c r="L756" s="48"/>
    </row>
    <row r="757">
      <c r="C757" s="47"/>
      <c r="F757" s="47"/>
      <c r="K757" s="48"/>
      <c r="L757" s="48"/>
    </row>
    <row r="758">
      <c r="C758" s="47"/>
      <c r="F758" s="47"/>
      <c r="K758" s="48"/>
      <c r="L758" s="48"/>
    </row>
    <row r="759">
      <c r="C759" s="47"/>
      <c r="F759" s="47"/>
      <c r="K759" s="48"/>
      <c r="L759" s="48"/>
    </row>
    <row r="760">
      <c r="C760" s="47"/>
      <c r="F760" s="47"/>
      <c r="K760" s="48"/>
      <c r="L760" s="48"/>
    </row>
    <row r="761">
      <c r="C761" s="47"/>
      <c r="F761" s="47"/>
      <c r="K761" s="48"/>
      <c r="L761" s="48"/>
    </row>
    <row r="762">
      <c r="C762" s="47"/>
      <c r="F762" s="47"/>
      <c r="K762" s="48"/>
      <c r="L762" s="48"/>
    </row>
    <row r="763">
      <c r="C763" s="47"/>
      <c r="F763" s="47"/>
      <c r="K763" s="48"/>
      <c r="L763" s="48"/>
    </row>
    <row r="764">
      <c r="C764" s="47"/>
      <c r="F764" s="47"/>
      <c r="K764" s="48"/>
      <c r="L764" s="48"/>
    </row>
    <row r="765">
      <c r="C765" s="47"/>
      <c r="F765" s="47"/>
      <c r="K765" s="48"/>
      <c r="L765" s="48"/>
    </row>
    <row r="766">
      <c r="C766" s="47"/>
      <c r="F766" s="47"/>
      <c r="K766" s="48"/>
      <c r="L766" s="48"/>
    </row>
    <row r="767">
      <c r="C767" s="47"/>
      <c r="F767" s="47"/>
      <c r="K767" s="48"/>
      <c r="L767" s="48"/>
    </row>
    <row r="768">
      <c r="C768" s="47"/>
      <c r="F768" s="47"/>
      <c r="K768" s="48"/>
      <c r="L768" s="48"/>
    </row>
    <row r="769">
      <c r="C769" s="47"/>
      <c r="F769" s="47"/>
      <c r="K769" s="48"/>
      <c r="L769" s="48"/>
    </row>
    <row r="770">
      <c r="C770" s="47"/>
      <c r="F770" s="47"/>
      <c r="K770" s="48"/>
      <c r="L770" s="48"/>
    </row>
    <row r="771">
      <c r="C771" s="47"/>
      <c r="F771" s="47"/>
      <c r="K771" s="48"/>
      <c r="L771" s="48"/>
    </row>
    <row r="772">
      <c r="C772" s="47"/>
      <c r="F772" s="47"/>
      <c r="K772" s="48"/>
      <c r="L772" s="48"/>
    </row>
    <row r="773">
      <c r="C773" s="47"/>
      <c r="F773" s="47"/>
      <c r="K773" s="48"/>
      <c r="L773" s="48"/>
    </row>
    <row r="774">
      <c r="C774" s="47"/>
      <c r="F774" s="47"/>
      <c r="K774" s="48"/>
      <c r="L774" s="48"/>
    </row>
    <row r="775">
      <c r="C775" s="47"/>
      <c r="F775" s="47"/>
      <c r="K775" s="48"/>
      <c r="L775" s="48"/>
    </row>
    <row r="776">
      <c r="C776" s="47"/>
      <c r="F776" s="47"/>
      <c r="K776" s="48"/>
      <c r="L776" s="48"/>
    </row>
    <row r="777">
      <c r="C777" s="47"/>
      <c r="F777" s="47"/>
      <c r="K777" s="48"/>
      <c r="L777" s="48"/>
    </row>
    <row r="778">
      <c r="C778" s="47"/>
      <c r="F778" s="47"/>
      <c r="K778" s="48"/>
      <c r="L778" s="48"/>
    </row>
    <row r="779">
      <c r="C779" s="47"/>
      <c r="F779" s="47"/>
      <c r="K779" s="48"/>
      <c r="L779" s="48"/>
    </row>
    <row r="780">
      <c r="C780" s="47"/>
      <c r="F780" s="47"/>
      <c r="K780" s="48"/>
      <c r="L780" s="48"/>
    </row>
    <row r="781">
      <c r="C781" s="47"/>
      <c r="F781" s="47"/>
      <c r="K781" s="48"/>
      <c r="L781" s="48"/>
    </row>
    <row r="782">
      <c r="C782" s="47"/>
      <c r="F782" s="47"/>
      <c r="K782" s="48"/>
      <c r="L782" s="48"/>
    </row>
    <row r="783">
      <c r="C783" s="47"/>
      <c r="F783" s="47"/>
      <c r="K783" s="48"/>
      <c r="L783" s="48"/>
    </row>
    <row r="784">
      <c r="C784" s="47"/>
      <c r="F784" s="47"/>
      <c r="K784" s="48"/>
      <c r="L784" s="48"/>
    </row>
    <row r="785">
      <c r="C785" s="47"/>
      <c r="F785" s="47"/>
      <c r="K785" s="48"/>
      <c r="L785" s="48"/>
    </row>
    <row r="786">
      <c r="C786" s="47"/>
      <c r="F786" s="47"/>
      <c r="K786" s="48"/>
      <c r="L786" s="48"/>
    </row>
    <row r="787">
      <c r="C787" s="47"/>
      <c r="F787" s="47"/>
      <c r="K787" s="48"/>
      <c r="L787" s="48"/>
    </row>
    <row r="788">
      <c r="C788" s="47"/>
      <c r="F788" s="47"/>
      <c r="K788" s="48"/>
      <c r="L788" s="48"/>
    </row>
    <row r="789">
      <c r="C789" s="47"/>
      <c r="F789" s="47"/>
      <c r="K789" s="48"/>
      <c r="L789" s="48"/>
    </row>
    <row r="790">
      <c r="C790" s="47"/>
      <c r="F790" s="47"/>
      <c r="K790" s="48"/>
      <c r="L790" s="48"/>
    </row>
    <row r="791">
      <c r="C791" s="47"/>
      <c r="F791" s="47"/>
      <c r="K791" s="48"/>
      <c r="L791" s="48"/>
    </row>
    <row r="792">
      <c r="C792" s="47"/>
      <c r="F792" s="47"/>
      <c r="K792" s="48"/>
      <c r="L792" s="48"/>
    </row>
    <row r="793">
      <c r="C793" s="47"/>
      <c r="F793" s="47"/>
      <c r="K793" s="48"/>
      <c r="L793" s="48"/>
    </row>
    <row r="794">
      <c r="C794" s="47"/>
      <c r="F794" s="47"/>
      <c r="K794" s="48"/>
      <c r="L794" s="48"/>
    </row>
    <row r="795">
      <c r="C795" s="47"/>
      <c r="F795" s="47"/>
      <c r="K795" s="48"/>
      <c r="L795" s="48"/>
    </row>
    <row r="796">
      <c r="C796" s="47"/>
      <c r="F796" s="47"/>
      <c r="K796" s="48"/>
      <c r="L796" s="48"/>
    </row>
    <row r="797">
      <c r="C797" s="47"/>
      <c r="F797" s="47"/>
      <c r="K797" s="48"/>
      <c r="L797" s="48"/>
    </row>
    <row r="798">
      <c r="C798" s="47"/>
      <c r="F798" s="47"/>
      <c r="K798" s="48"/>
      <c r="L798" s="48"/>
    </row>
    <row r="799">
      <c r="C799" s="47"/>
      <c r="F799" s="47"/>
      <c r="K799" s="48"/>
      <c r="L799" s="48"/>
    </row>
    <row r="800">
      <c r="C800" s="47"/>
      <c r="F800" s="47"/>
      <c r="K800" s="48"/>
      <c r="L800" s="48"/>
    </row>
    <row r="801">
      <c r="C801" s="47"/>
      <c r="F801" s="47"/>
      <c r="K801" s="48"/>
      <c r="L801" s="48"/>
    </row>
    <row r="802">
      <c r="C802" s="47"/>
      <c r="F802" s="47"/>
      <c r="K802" s="48"/>
      <c r="L802" s="48"/>
    </row>
    <row r="803">
      <c r="C803" s="47"/>
      <c r="F803" s="47"/>
      <c r="K803" s="48"/>
      <c r="L803" s="48"/>
    </row>
    <row r="804">
      <c r="C804" s="47"/>
      <c r="F804" s="47"/>
      <c r="K804" s="48"/>
      <c r="L804" s="48"/>
    </row>
    <row r="805">
      <c r="C805" s="47"/>
      <c r="F805" s="47"/>
      <c r="K805" s="48"/>
      <c r="L805" s="48"/>
    </row>
    <row r="806">
      <c r="C806" s="47"/>
      <c r="F806" s="47"/>
      <c r="K806" s="48"/>
      <c r="L806" s="48"/>
    </row>
    <row r="807">
      <c r="C807" s="47"/>
      <c r="F807" s="47"/>
      <c r="K807" s="48"/>
      <c r="L807" s="48"/>
    </row>
    <row r="808">
      <c r="C808" s="47"/>
      <c r="F808" s="47"/>
      <c r="K808" s="48"/>
      <c r="L808" s="48"/>
    </row>
    <row r="809">
      <c r="C809" s="47"/>
      <c r="F809" s="47"/>
      <c r="K809" s="48"/>
      <c r="L809" s="48"/>
    </row>
    <row r="810">
      <c r="C810" s="47"/>
      <c r="F810" s="47"/>
      <c r="K810" s="48"/>
      <c r="L810" s="48"/>
    </row>
    <row r="811">
      <c r="C811" s="47"/>
      <c r="F811" s="47"/>
      <c r="K811" s="48"/>
      <c r="L811" s="48"/>
    </row>
    <row r="812">
      <c r="C812" s="47"/>
      <c r="F812" s="47"/>
      <c r="K812" s="48"/>
      <c r="L812" s="48"/>
    </row>
    <row r="813">
      <c r="C813" s="47"/>
      <c r="F813" s="47"/>
      <c r="K813" s="48"/>
      <c r="L813" s="48"/>
    </row>
    <row r="814">
      <c r="C814" s="47"/>
      <c r="F814" s="47"/>
      <c r="K814" s="48"/>
      <c r="L814" s="48"/>
    </row>
    <row r="815">
      <c r="C815" s="47"/>
      <c r="F815" s="47"/>
      <c r="K815" s="48"/>
      <c r="L815" s="48"/>
    </row>
    <row r="816">
      <c r="C816" s="47"/>
      <c r="F816" s="47"/>
      <c r="K816" s="48"/>
      <c r="L816" s="48"/>
    </row>
    <row r="817">
      <c r="C817" s="47"/>
      <c r="F817" s="47"/>
      <c r="K817" s="48"/>
      <c r="L817" s="48"/>
    </row>
    <row r="818">
      <c r="C818" s="47"/>
      <c r="F818" s="47"/>
      <c r="K818" s="48"/>
      <c r="L818" s="48"/>
    </row>
    <row r="819">
      <c r="C819" s="47"/>
      <c r="F819" s="47"/>
      <c r="K819" s="48"/>
      <c r="L819" s="48"/>
    </row>
    <row r="820">
      <c r="C820" s="47"/>
      <c r="F820" s="47"/>
      <c r="K820" s="48"/>
      <c r="L820" s="48"/>
    </row>
    <row r="821">
      <c r="C821" s="47"/>
      <c r="F821" s="47"/>
      <c r="K821" s="48"/>
      <c r="L821" s="48"/>
    </row>
    <row r="822">
      <c r="C822" s="47"/>
      <c r="F822" s="47"/>
      <c r="K822" s="48"/>
      <c r="L822" s="48"/>
    </row>
    <row r="823">
      <c r="C823" s="47"/>
      <c r="F823" s="47"/>
      <c r="K823" s="48"/>
      <c r="L823" s="48"/>
    </row>
    <row r="824">
      <c r="C824" s="47"/>
      <c r="F824" s="47"/>
      <c r="K824" s="48"/>
      <c r="L824" s="48"/>
    </row>
    <row r="825">
      <c r="C825" s="47"/>
      <c r="F825" s="47"/>
      <c r="K825" s="48"/>
      <c r="L825" s="48"/>
    </row>
    <row r="826">
      <c r="C826" s="47"/>
      <c r="F826" s="47"/>
      <c r="K826" s="48"/>
      <c r="L826" s="48"/>
    </row>
    <row r="827">
      <c r="C827" s="47"/>
      <c r="F827" s="47"/>
      <c r="K827" s="48"/>
      <c r="L827" s="48"/>
    </row>
    <row r="828">
      <c r="C828" s="47"/>
      <c r="F828" s="47"/>
      <c r="K828" s="48"/>
      <c r="L828" s="48"/>
    </row>
    <row r="829">
      <c r="C829" s="47"/>
      <c r="F829" s="47"/>
      <c r="K829" s="48"/>
      <c r="L829" s="48"/>
    </row>
    <row r="830">
      <c r="C830" s="47"/>
      <c r="F830" s="47"/>
      <c r="K830" s="48"/>
      <c r="L830" s="48"/>
    </row>
    <row r="831">
      <c r="C831" s="47"/>
      <c r="F831" s="47"/>
      <c r="K831" s="48"/>
      <c r="L831" s="48"/>
    </row>
    <row r="832">
      <c r="C832" s="47"/>
      <c r="F832" s="47"/>
      <c r="K832" s="48"/>
      <c r="L832" s="48"/>
    </row>
    <row r="833">
      <c r="C833" s="47"/>
      <c r="F833" s="47"/>
      <c r="K833" s="48"/>
      <c r="L833" s="48"/>
    </row>
    <row r="834">
      <c r="C834" s="47"/>
      <c r="F834" s="47"/>
      <c r="K834" s="48"/>
      <c r="L834" s="48"/>
    </row>
    <row r="835">
      <c r="C835" s="47"/>
      <c r="F835" s="47"/>
      <c r="K835" s="48"/>
      <c r="L835" s="48"/>
    </row>
    <row r="836">
      <c r="C836" s="47"/>
      <c r="F836" s="47"/>
      <c r="K836" s="48"/>
      <c r="L836" s="48"/>
    </row>
    <row r="837">
      <c r="C837" s="47"/>
      <c r="F837" s="47"/>
      <c r="K837" s="48"/>
      <c r="L837" s="48"/>
    </row>
    <row r="838">
      <c r="C838" s="47"/>
      <c r="F838" s="47"/>
      <c r="K838" s="48"/>
      <c r="L838" s="48"/>
    </row>
    <row r="839">
      <c r="C839" s="47"/>
      <c r="F839" s="47"/>
      <c r="K839" s="48"/>
      <c r="L839" s="48"/>
    </row>
    <row r="840">
      <c r="C840" s="47"/>
      <c r="F840" s="47"/>
      <c r="K840" s="48"/>
      <c r="L840" s="48"/>
    </row>
    <row r="841">
      <c r="C841" s="47"/>
      <c r="F841" s="47"/>
      <c r="K841" s="48"/>
      <c r="L841" s="48"/>
    </row>
    <row r="842">
      <c r="C842" s="47"/>
      <c r="F842" s="47"/>
      <c r="K842" s="48"/>
      <c r="L842" s="48"/>
    </row>
    <row r="843">
      <c r="C843" s="47"/>
      <c r="F843" s="47"/>
      <c r="K843" s="48"/>
      <c r="L843" s="48"/>
    </row>
    <row r="844">
      <c r="C844" s="47"/>
      <c r="F844" s="47"/>
      <c r="K844" s="48"/>
      <c r="L844" s="48"/>
    </row>
    <row r="845">
      <c r="C845" s="47"/>
      <c r="F845" s="47"/>
      <c r="K845" s="48"/>
      <c r="L845" s="48"/>
    </row>
    <row r="846">
      <c r="C846" s="47"/>
      <c r="F846" s="47"/>
      <c r="K846" s="48"/>
      <c r="L846" s="48"/>
    </row>
    <row r="847">
      <c r="C847" s="47"/>
      <c r="F847" s="47"/>
      <c r="K847" s="48"/>
      <c r="L847" s="48"/>
    </row>
    <row r="848">
      <c r="C848" s="47"/>
      <c r="F848" s="47"/>
      <c r="K848" s="48"/>
      <c r="L848" s="48"/>
    </row>
    <row r="849">
      <c r="C849" s="47"/>
      <c r="F849" s="47"/>
      <c r="K849" s="48"/>
      <c r="L849" s="48"/>
    </row>
    <row r="850">
      <c r="C850" s="47"/>
      <c r="F850" s="47"/>
      <c r="K850" s="48"/>
      <c r="L850" s="48"/>
    </row>
    <row r="851">
      <c r="C851" s="47"/>
      <c r="F851" s="47"/>
      <c r="K851" s="48"/>
      <c r="L851" s="48"/>
    </row>
    <row r="852">
      <c r="C852" s="47"/>
      <c r="F852" s="47"/>
      <c r="K852" s="48"/>
      <c r="L852" s="48"/>
    </row>
    <row r="853">
      <c r="C853" s="47"/>
      <c r="F853" s="47"/>
      <c r="K853" s="48"/>
      <c r="L853" s="48"/>
    </row>
    <row r="854">
      <c r="C854" s="47"/>
      <c r="F854" s="47"/>
      <c r="K854" s="48"/>
      <c r="L854" s="48"/>
    </row>
    <row r="855">
      <c r="C855" s="47"/>
      <c r="F855" s="47"/>
      <c r="K855" s="48"/>
      <c r="L855" s="48"/>
    </row>
    <row r="856">
      <c r="C856" s="47"/>
      <c r="F856" s="47"/>
      <c r="K856" s="48"/>
      <c r="L856" s="48"/>
    </row>
    <row r="857">
      <c r="C857" s="47"/>
      <c r="F857" s="47"/>
      <c r="K857" s="48"/>
      <c r="L857" s="48"/>
    </row>
    <row r="858">
      <c r="C858" s="47"/>
      <c r="F858" s="47"/>
      <c r="K858" s="48"/>
      <c r="L858" s="48"/>
    </row>
    <row r="859">
      <c r="C859" s="47"/>
      <c r="F859" s="47"/>
      <c r="K859" s="48"/>
      <c r="L859" s="48"/>
    </row>
    <row r="860">
      <c r="C860" s="47"/>
      <c r="F860" s="47"/>
      <c r="K860" s="48"/>
      <c r="L860" s="48"/>
    </row>
    <row r="861">
      <c r="C861" s="47"/>
      <c r="F861" s="47"/>
      <c r="K861" s="48"/>
      <c r="L861" s="48"/>
    </row>
    <row r="862">
      <c r="C862" s="47"/>
      <c r="F862" s="47"/>
      <c r="K862" s="48"/>
      <c r="L862" s="48"/>
    </row>
    <row r="863">
      <c r="C863" s="47"/>
      <c r="F863" s="47"/>
      <c r="K863" s="48"/>
      <c r="L863" s="48"/>
    </row>
    <row r="864">
      <c r="C864" s="47"/>
      <c r="F864" s="47"/>
      <c r="K864" s="48"/>
      <c r="L864" s="48"/>
    </row>
    <row r="865">
      <c r="C865" s="47"/>
      <c r="F865" s="47"/>
      <c r="K865" s="48"/>
      <c r="L865" s="48"/>
    </row>
    <row r="866">
      <c r="C866" s="47"/>
      <c r="F866" s="47"/>
      <c r="K866" s="48"/>
      <c r="L866" s="48"/>
    </row>
    <row r="867">
      <c r="C867" s="47"/>
      <c r="F867" s="47"/>
      <c r="K867" s="48"/>
      <c r="L867" s="48"/>
    </row>
    <row r="868">
      <c r="C868" s="47"/>
      <c r="F868" s="47"/>
      <c r="K868" s="48"/>
      <c r="L868" s="48"/>
    </row>
    <row r="869">
      <c r="C869" s="47"/>
      <c r="F869" s="47"/>
      <c r="K869" s="48"/>
      <c r="L869" s="48"/>
    </row>
    <row r="870">
      <c r="C870" s="47"/>
      <c r="F870" s="47"/>
      <c r="K870" s="48"/>
      <c r="L870" s="48"/>
    </row>
    <row r="871">
      <c r="C871" s="47"/>
      <c r="F871" s="47"/>
      <c r="K871" s="48"/>
      <c r="L871" s="48"/>
    </row>
    <row r="872">
      <c r="C872" s="47"/>
      <c r="F872" s="47"/>
      <c r="K872" s="48"/>
      <c r="L872" s="48"/>
    </row>
    <row r="873">
      <c r="C873" s="47"/>
      <c r="F873" s="47"/>
      <c r="K873" s="48"/>
      <c r="L873" s="48"/>
    </row>
    <row r="874">
      <c r="C874" s="47"/>
      <c r="F874" s="47"/>
      <c r="K874" s="48"/>
      <c r="L874" s="48"/>
    </row>
    <row r="875">
      <c r="C875" s="47"/>
      <c r="F875" s="47"/>
      <c r="K875" s="48"/>
      <c r="L875" s="48"/>
    </row>
    <row r="876">
      <c r="C876" s="47"/>
      <c r="F876" s="47"/>
      <c r="K876" s="48"/>
      <c r="L876" s="48"/>
    </row>
    <row r="877">
      <c r="C877" s="47"/>
      <c r="F877" s="47"/>
      <c r="K877" s="48"/>
      <c r="L877" s="48"/>
    </row>
    <row r="878">
      <c r="C878" s="47"/>
      <c r="F878" s="47"/>
      <c r="K878" s="48"/>
      <c r="L878" s="48"/>
    </row>
    <row r="879">
      <c r="C879" s="47"/>
      <c r="F879" s="47"/>
      <c r="K879" s="48"/>
      <c r="L879" s="48"/>
    </row>
    <row r="880">
      <c r="C880" s="47"/>
      <c r="F880" s="47"/>
      <c r="K880" s="48"/>
      <c r="L880" s="48"/>
    </row>
    <row r="881">
      <c r="C881" s="47"/>
      <c r="F881" s="47"/>
      <c r="K881" s="48"/>
      <c r="L881" s="48"/>
    </row>
    <row r="882">
      <c r="C882" s="47"/>
      <c r="F882" s="47"/>
      <c r="K882" s="48"/>
      <c r="L882" s="48"/>
    </row>
    <row r="883">
      <c r="C883" s="47"/>
      <c r="F883" s="47"/>
      <c r="K883" s="48"/>
      <c r="L883" s="48"/>
    </row>
    <row r="884">
      <c r="C884" s="47"/>
      <c r="F884" s="47"/>
      <c r="K884" s="48"/>
      <c r="L884" s="48"/>
    </row>
    <row r="885">
      <c r="C885" s="47"/>
      <c r="F885" s="47"/>
      <c r="K885" s="48"/>
      <c r="L885" s="48"/>
    </row>
    <row r="886">
      <c r="C886" s="47"/>
      <c r="F886" s="47"/>
      <c r="K886" s="48"/>
      <c r="L886" s="48"/>
    </row>
    <row r="887">
      <c r="C887" s="47"/>
      <c r="F887" s="47"/>
      <c r="K887" s="48"/>
      <c r="L887" s="48"/>
    </row>
    <row r="888">
      <c r="C888" s="47"/>
      <c r="F888" s="47"/>
      <c r="K888" s="48"/>
      <c r="L888" s="48"/>
    </row>
    <row r="889">
      <c r="C889" s="47"/>
      <c r="F889" s="47"/>
      <c r="K889" s="48"/>
      <c r="L889" s="48"/>
    </row>
    <row r="890">
      <c r="C890" s="47"/>
      <c r="F890" s="47"/>
      <c r="K890" s="48"/>
      <c r="L890" s="48"/>
    </row>
    <row r="891">
      <c r="C891" s="47"/>
      <c r="F891" s="47"/>
      <c r="K891" s="48"/>
      <c r="L891" s="48"/>
    </row>
    <row r="892">
      <c r="C892" s="47"/>
      <c r="F892" s="47"/>
      <c r="K892" s="48"/>
      <c r="L892" s="48"/>
    </row>
    <row r="893">
      <c r="C893" s="47"/>
      <c r="F893" s="47"/>
      <c r="K893" s="48"/>
      <c r="L893" s="48"/>
    </row>
    <row r="894">
      <c r="C894" s="47"/>
      <c r="F894" s="47"/>
      <c r="K894" s="48"/>
      <c r="L894" s="48"/>
    </row>
    <row r="895">
      <c r="C895" s="47"/>
      <c r="F895" s="47"/>
      <c r="K895" s="48"/>
      <c r="L895" s="48"/>
    </row>
    <row r="896">
      <c r="C896" s="47"/>
      <c r="F896" s="47"/>
      <c r="K896" s="48"/>
      <c r="L896" s="48"/>
    </row>
    <row r="897">
      <c r="C897" s="47"/>
      <c r="F897" s="47"/>
      <c r="K897" s="48"/>
      <c r="L897" s="48"/>
    </row>
    <row r="898">
      <c r="C898" s="47"/>
      <c r="F898" s="47"/>
      <c r="K898" s="48"/>
      <c r="L898" s="48"/>
    </row>
    <row r="899">
      <c r="C899" s="47"/>
      <c r="F899" s="47"/>
      <c r="K899" s="48"/>
      <c r="L899" s="48"/>
    </row>
    <row r="900">
      <c r="C900" s="47"/>
      <c r="F900" s="47"/>
      <c r="K900" s="48"/>
      <c r="L900" s="48"/>
    </row>
    <row r="901">
      <c r="C901" s="47"/>
      <c r="F901" s="47"/>
      <c r="K901" s="48"/>
      <c r="L901" s="48"/>
    </row>
    <row r="902">
      <c r="C902" s="47"/>
      <c r="F902" s="47"/>
      <c r="K902" s="48"/>
      <c r="L902" s="48"/>
    </row>
    <row r="903">
      <c r="C903" s="47"/>
      <c r="F903" s="47"/>
      <c r="K903" s="48"/>
      <c r="L903" s="48"/>
    </row>
    <row r="904">
      <c r="C904" s="47"/>
      <c r="F904" s="47"/>
      <c r="K904" s="48"/>
      <c r="L904" s="48"/>
    </row>
    <row r="905">
      <c r="C905" s="47"/>
      <c r="F905" s="47"/>
      <c r="K905" s="48"/>
      <c r="L905" s="48"/>
    </row>
    <row r="906">
      <c r="C906" s="47"/>
      <c r="F906" s="47"/>
      <c r="K906" s="48"/>
      <c r="L906" s="48"/>
    </row>
    <row r="907">
      <c r="C907" s="47"/>
      <c r="F907" s="47"/>
      <c r="K907" s="48"/>
      <c r="L907" s="48"/>
    </row>
    <row r="908">
      <c r="C908" s="47"/>
      <c r="F908" s="47"/>
      <c r="K908" s="48"/>
      <c r="L908" s="48"/>
    </row>
    <row r="909">
      <c r="C909" s="47"/>
      <c r="F909" s="47"/>
      <c r="K909" s="48"/>
      <c r="L909" s="48"/>
    </row>
    <row r="910">
      <c r="C910" s="47"/>
      <c r="F910" s="47"/>
      <c r="K910" s="48"/>
      <c r="L910" s="48"/>
    </row>
    <row r="911">
      <c r="C911" s="47"/>
      <c r="F911" s="47"/>
      <c r="K911" s="48"/>
      <c r="L911" s="48"/>
    </row>
    <row r="912">
      <c r="C912" s="47"/>
      <c r="F912" s="47"/>
      <c r="K912" s="48"/>
      <c r="L912" s="48"/>
    </row>
    <row r="913">
      <c r="C913" s="47"/>
      <c r="F913" s="47"/>
      <c r="K913" s="48"/>
      <c r="L913" s="48"/>
    </row>
    <row r="914">
      <c r="C914" s="47"/>
      <c r="F914" s="47"/>
      <c r="K914" s="48"/>
      <c r="L914" s="48"/>
    </row>
    <row r="915">
      <c r="C915" s="47"/>
      <c r="F915" s="47"/>
      <c r="K915" s="48"/>
      <c r="L915" s="48"/>
    </row>
    <row r="916">
      <c r="C916" s="47"/>
      <c r="F916" s="47"/>
      <c r="K916" s="48"/>
      <c r="L916" s="48"/>
    </row>
    <row r="917">
      <c r="C917" s="47"/>
      <c r="F917" s="47"/>
      <c r="K917" s="48"/>
      <c r="L917" s="48"/>
    </row>
    <row r="918">
      <c r="C918" s="47"/>
      <c r="F918" s="47"/>
      <c r="K918" s="48"/>
      <c r="L918" s="48"/>
    </row>
    <row r="919">
      <c r="C919" s="47"/>
      <c r="F919" s="47"/>
      <c r="K919" s="48"/>
      <c r="L919" s="48"/>
    </row>
    <row r="920">
      <c r="C920" s="47"/>
      <c r="F920" s="47"/>
      <c r="K920" s="48"/>
      <c r="L920" s="48"/>
    </row>
    <row r="921">
      <c r="C921" s="47"/>
      <c r="F921" s="47"/>
      <c r="K921" s="48"/>
      <c r="L921" s="48"/>
    </row>
    <row r="922">
      <c r="C922" s="47"/>
      <c r="F922" s="47"/>
      <c r="K922" s="48"/>
      <c r="L922" s="48"/>
    </row>
    <row r="923">
      <c r="C923" s="47"/>
      <c r="F923" s="47"/>
      <c r="K923" s="48"/>
      <c r="L923" s="48"/>
    </row>
    <row r="924">
      <c r="C924" s="47"/>
      <c r="F924" s="47"/>
      <c r="K924" s="48"/>
      <c r="L924" s="48"/>
    </row>
    <row r="925">
      <c r="C925" s="47"/>
      <c r="F925" s="47"/>
      <c r="K925" s="48"/>
      <c r="L925" s="48"/>
    </row>
    <row r="926">
      <c r="C926" s="47"/>
      <c r="F926" s="47"/>
      <c r="K926" s="48"/>
      <c r="L926" s="48"/>
    </row>
    <row r="927">
      <c r="C927" s="47"/>
      <c r="F927" s="47"/>
      <c r="K927" s="48"/>
      <c r="L927" s="48"/>
    </row>
    <row r="928">
      <c r="C928" s="47"/>
      <c r="F928" s="47"/>
      <c r="K928" s="48"/>
      <c r="L928" s="48"/>
    </row>
    <row r="929">
      <c r="C929" s="47"/>
      <c r="F929" s="47"/>
      <c r="K929" s="48"/>
      <c r="L929" s="48"/>
    </row>
    <row r="930">
      <c r="C930" s="47"/>
      <c r="F930" s="47"/>
      <c r="K930" s="48"/>
      <c r="L930" s="48"/>
    </row>
    <row r="931">
      <c r="C931" s="47"/>
      <c r="F931" s="47"/>
      <c r="K931" s="48"/>
      <c r="L931" s="48"/>
    </row>
    <row r="932">
      <c r="C932" s="47"/>
      <c r="F932" s="47"/>
      <c r="K932" s="48"/>
      <c r="L932" s="48"/>
    </row>
    <row r="933">
      <c r="C933" s="47"/>
      <c r="F933" s="47"/>
      <c r="K933" s="48"/>
      <c r="L933" s="48"/>
    </row>
    <row r="934">
      <c r="C934" s="47"/>
      <c r="F934" s="47"/>
      <c r="K934" s="48"/>
      <c r="L934" s="48"/>
    </row>
    <row r="935">
      <c r="C935" s="47"/>
      <c r="F935" s="47"/>
      <c r="K935" s="48"/>
      <c r="L935" s="48"/>
    </row>
    <row r="936">
      <c r="C936" s="47"/>
      <c r="F936" s="47"/>
      <c r="K936" s="48"/>
      <c r="L936" s="48"/>
    </row>
    <row r="937">
      <c r="C937" s="47"/>
      <c r="F937" s="47"/>
      <c r="K937" s="48"/>
      <c r="L937" s="48"/>
    </row>
    <row r="938">
      <c r="C938" s="47"/>
      <c r="F938" s="47"/>
      <c r="K938" s="48"/>
      <c r="L938" s="48"/>
    </row>
    <row r="939">
      <c r="C939" s="47"/>
      <c r="F939" s="47"/>
      <c r="K939" s="48"/>
      <c r="L939" s="48"/>
    </row>
    <row r="940">
      <c r="C940" s="47"/>
      <c r="F940" s="47"/>
      <c r="K940" s="48"/>
      <c r="L940" s="48"/>
    </row>
    <row r="941">
      <c r="C941" s="47"/>
      <c r="F941" s="47"/>
      <c r="K941" s="48"/>
      <c r="L941" s="48"/>
    </row>
    <row r="942">
      <c r="C942" s="47"/>
      <c r="F942" s="47"/>
      <c r="K942" s="48"/>
      <c r="L942" s="48"/>
    </row>
    <row r="943">
      <c r="C943" s="47"/>
      <c r="F943" s="47"/>
      <c r="K943" s="48"/>
      <c r="L943" s="48"/>
    </row>
    <row r="944">
      <c r="C944" s="47"/>
      <c r="F944" s="47"/>
      <c r="K944" s="48"/>
      <c r="L944" s="48"/>
    </row>
    <row r="945">
      <c r="C945" s="47"/>
      <c r="F945" s="47"/>
      <c r="K945" s="48"/>
      <c r="L945" s="48"/>
    </row>
    <row r="946">
      <c r="C946" s="47"/>
      <c r="F946" s="47"/>
      <c r="K946" s="48"/>
      <c r="L946" s="48"/>
    </row>
    <row r="947">
      <c r="C947" s="47"/>
      <c r="F947" s="47"/>
      <c r="K947" s="48"/>
      <c r="L947" s="48"/>
    </row>
    <row r="948">
      <c r="C948" s="47"/>
      <c r="F948" s="47"/>
      <c r="K948" s="48"/>
      <c r="L948" s="48"/>
    </row>
    <row r="949">
      <c r="C949" s="47"/>
      <c r="F949" s="47"/>
      <c r="K949" s="48"/>
      <c r="L949" s="48"/>
    </row>
    <row r="950">
      <c r="C950" s="47"/>
      <c r="F950" s="47"/>
      <c r="K950" s="48"/>
      <c r="L950" s="48"/>
    </row>
    <row r="951">
      <c r="C951" s="47"/>
      <c r="F951" s="47"/>
      <c r="K951" s="48"/>
      <c r="L951" s="48"/>
    </row>
    <row r="952">
      <c r="C952" s="47"/>
      <c r="F952" s="47"/>
      <c r="K952" s="48"/>
      <c r="L952" s="48"/>
    </row>
    <row r="953">
      <c r="C953" s="47"/>
      <c r="F953" s="47"/>
      <c r="K953" s="48"/>
      <c r="L953" s="48"/>
    </row>
    <row r="954">
      <c r="C954" s="47"/>
      <c r="F954" s="47"/>
      <c r="K954" s="48"/>
      <c r="L954" s="48"/>
    </row>
    <row r="955">
      <c r="C955" s="47"/>
      <c r="F955" s="47"/>
      <c r="K955" s="48"/>
      <c r="L955" s="48"/>
    </row>
    <row r="956">
      <c r="C956" s="47"/>
      <c r="F956" s="47"/>
      <c r="K956" s="48"/>
      <c r="L956" s="48"/>
    </row>
    <row r="957">
      <c r="C957" s="47"/>
      <c r="F957" s="47"/>
      <c r="K957" s="48"/>
      <c r="L957" s="48"/>
    </row>
    <row r="958">
      <c r="C958" s="47"/>
      <c r="F958" s="47"/>
      <c r="K958" s="48"/>
      <c r="L958" s="48"/>
    </row>
    <row r="959">
      <c r="C959" s="47"/>
      <c r="F959" s="47"/>
      <c r="K959" s="48"/>
      <c r="L959" s="48"/>
    </row>
    <row r="960">
      <c r="C960" s="47"/>
      <c r="F960" s="47"/>
      <c r="K960" s="48"/>
      <c r="L960" s="48"/>
    </row>
    <row r="961">
      <c r="C961" s="47"/>
      <c r="F961" s="47"/>
      <c r="K961" s="48"/>
      <c r="L961" s="48"/>
    </row>
    <row r="962">
      <c r="C962" s="47"/>
      <c r="F962" s="47"/>
      <c r="K962" s="48"/>
      <c r="L962" s="4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6" max="6" width="13.75"/>
    <col customWidth="1" min="7" max="7" width="9.75"/>
  </cols>
  <sheetData>
    <row r="2">
      <c r="B2" s="50" t="s">
        <v>73</v>
      </c>
      <c r="C2" s="51" t="s">
        <v>74</v>
      </c>
      <c r="D2" s="52"/>
      <c r="E2" s="53"/>
      <c r="F2" s="54" t="s">
        <v>75</v>
      </c>
      <c r="G2" s="55" t="s">
        <v>76</v>
      </c>
      <c r="H2" s="56" t="s">
        <v>77</v>
      </c>
    </row>
    <row r="3">
      <c r="B3" s="57" t="s">
        <v>78</v>
      </c>
      <c r="C3" s="58" t="s">
        <v>79</v>
      </c>
      <c r="D3" s="59"/>
      <c r="E3" s="60"/>
      <c r="F3" s="61" t="s">
        <v>80</v>
      </c>
      <c r="H3" s="62" t="s">
        <v>81</v>
      </c>
    </row>
    <row r="4">
      <c r="B4" s="62" t="s">
        <v>43</v>
      </c>
      <c r="F4" s="62" t="s">
        <v>44</v>
      </c>
    </row>
    <row r="5">
      <c r="G5" s="62" t="s">
        <v>31</v>
      </c>
    </row>
  </sheetData>
  <mergeCells count="2">
    <mergeCell ref="G2:G3"/>
    <mergeCell ref="G5:H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13"/>
    <col customWidth="1" min="16" max="16" width="17.13"/>
    <col customWidth="1" min="17" max="18" width="13.75"/>
    <col hidden="1" min="19" max="19" width="12.63"/>
    <col customWidth="1" min="23" max="24" width="15.38"/>
  </cols>
  <sheetData>
    <row r="3">
      <c r="P3" s="63" t="s">
        <v>82</v>
      </c>
      <c r="Q3" s="63" t="s">
        <v>83</v>
      </c>
      <c r="R3" s="63" t="s">
        <v>84</v>
      </c>
      <c r="S3" s="63" t="s">
        <v>85</v>
      </c>
      <c r="T3" s="63" t="s">
        <v>86</v>
      </c>
      <c r="V3" s="62" t="s">
        <v>87</v>
      </c>
      <c r="W3" s="62" t="s">
        <v>88</v>
      </c>
      <c r="X3" s="62" t="s">
        <v>89</v>
      </c>
      <c r="Y3" s="62" t="s">
        <v>90</v>
      </c>
    </row>
    <row r="4">
      <c r="P4" s="64" t="s">
        <v>91</v>
      </c>
      <c r="Q4" s="65">
        <f t="shared" ref="Q4:Q7" si="1">D14/1000</f>
        <v>16.47059414</v>
      </c>
      <c r="R4" s="66">
        <f t="shared" ref="R4:R7" si="2">D26/1000</f>
        <v>11.35596512</v>
      </c>
      <c r="S4" s="66">
        <f t="shared" ref="S4:S7" si="3">R4/(Q4)</f>
        <v>0.6894690633</v>
      </c>
      <c r="T4" s="67">
        <f t="shared" ref="T4:T7" si="4">1-S4</f>
        <v>0.3105309367</v>
      </c>
      <c r="V4" s="62">
        <v>39.4</v>
      </c>
      <c r="W4" s="68">
        <f t="shared" ref="W4:W7" si="5">V4/Q4</f>
        <v>2.392141999</v>
      </c>
      <c r="X4" s="69">
        <f t="shared" ref="X4:X7" si="6">V4/R4</f>
        <v>3.469542183</v>
      </c>
      <c r="Y4" s="69">
        <f t="shared" ref="Y4:Y7" si="7">X4-W4</f>
        <v>1.077400184</v>
      </c>
    </row>
    <row r="5">
      <c r="F5" s="1" t="s">
        <v>92</v>
      </c>
      <c r="P5" s="64" t="s">
        <v>93</v>
      </c>
      <c r="Q5" s="65">
        <f t="shared" si="1"/>
        <v>23.35776429</v>
      </c>
      <c r="R5" s="66">
        <f t="shared" si="2"/>
        <v>15.48540698</v>
      </c>
      <c r="S5" s="66">
        <f t="shared" si="3"/>
        <v>0.6629661462</v>
      </c>
      <c r="T5" s="67">
        <f t="shared" si="4"/>
        <v>0.3370338538</v>
      </c>
      <c r="V5" s="62">
        <v>39.4</v>
      </c>
      <c r="W5" s="68">
        <f t="shared" si="5"/>
        <v>1.686805274</v>
      </c>
      <c r="X5" s="69">
        <f t="shared" si="6"/>
        <v>2.544330934</v>
      </c>
      <c r="Y5" s="69">
        <f t="shared" si="7"/>
        <v>0.8575256601</v>
      </c>
    </row>
    <row r="6">
      <c r="P6" s="64" t="s">
        <v>94</v>
      </c>
      <c r="Q6" s="65">
        <f t="shared" si="1"/>
        <v>32.91188118</v>
      </c>
      <c r="R6" s="66">
        <f t="shared" si="2"/>
        <v>22.71193023</v>
      </c>
      <c r="S6" s="66">
        <f t="shared" si="3"/>
        <v>0.6900830162</v>
      </c>
      <c r="T6" s="67">
        <f t="shared" si="4"/>
        <v>0.3099169838</v>
      </c>
      <c r="V6" s="62">
        <v>39.4</v>
      </c>
      <c r="W6" s="68">
        <f t="shared" si="5"/>
        <v>1.197136067</v>
      </c>
      <c r="X6" s="69">
        <f t="shared" si="6"/>
        <v>1.734771091</v>
      </c>
      <c r="Y6" s="69">
        <f t="shared" si="7"/>
        <v>0.5376350243</v>
      </c>
    </row>
    <row r="7">
      <c r="P7" s="64" t="s">
        <v>95</v>
      </c>
      <c r="Q7" s="65">
        <f t="shared" si="1"/>
        <v>39.2715234</v>
      </c>
      <c r="R7" s="66">
        <f t="shared" si="2"/>
        <v>25.80901163</v>
      </c>
      <c r="S7" s="66">
        <f t="shared" si="3"/>
        <v>0.6571940529</v>
      </c>
      <c r="T7" s="67">
        <f t="shared" si="4"/>
        <v>0.3428059471</v>
      </c>
      <c r="V7" s="62">
        <v>39.4</v>
      </c>
      <c r="W7" s="68">
        <f t="shared" si="5"/>
        <v>1.003271495</v>
      </c>
      <c r="X7" s="69">
        <f t="shared" si="6"/>
        <v>1.52659856</v>
      </c>
      <c r="Y7" s="69">
        <f t="shared" si="7"/>
        <v>0.5233270654</v>
      </c>
    </row>
    <row r="8">
      <c r="T8" s="48">
        <f>AVERAGE(T4:T7)</f>
        <v>0.3250719304</v>
      </c>
    </row>
    <row r="9">
      <c r="S9" s="62" t="s">
        <v>85</v>
      </c>
      <c r="T9" s="62"/>
    </row>
    <row r="10">
      <c r="S10" s="69">
        <f t="shared" ref="S10:S13" si="8">X4/(W4)</f>
        <v>1.4503914</v>
      </c>
      <c r="T10" s="70"/>
    </row>
    <row r="11">
      <c r="S11" s="69">
        <f t="shared" si="8"/>
        <v>1.508372646</v>
      </c>
      <c r="T11" s="70"/>
      <c r="V11" s="1" t="s">
        <v>96</v>
      </c>
      <c r="Y11" s="1">
        <v>1500.0</v>
      </c>
    </row>
    <row r="12">
      <c r="C12" s="1"/>
      <c r="D12" s="1"/>
      <c r="E12" s="1"/>
      <c r="S12" s="69">
        <f t="shared" si="8"/>
        <v>1.449101016</v>
      </c>
      <c r="T12" s="70"/>
      <c r="W12" s="1" t="s">
        <v>97</v>
      </c>
      <c r="X12" s="1">
        <v>500.0</v>
      </c>
      <c r="Y12" s="1">
        <v>3500.0</v>
      </c>
    </row>
    <row r="13">
      <c r="B13" s="1" t="s">
        <v>98</v>
      </c>
      <c r="C13" s="1" t="s">
        <v>99</v>
      </c>
      <c r="D13" s="1" t="s">
        <v>7</v>
      </c>
      <c r="E13" s="1" t="s">
        <v>100</v>
      </c>
      <c r="F13" s="1" t="s">
        <v>101</v>
      </c>
      <c r="G13" s="1" t="s">
        <v>102</v>
      </c>
      <c r="H13" s="1" t="s">
        <v>103</v>
      </c>
      <c r="I13" s="1" t="s">
        <v>104</v>
      </c>
      <c r="J13" s="1" t="s">
        <v>60</v>
      </c>
      <c r="K13" s="1" t="s">
        <v>105</v>
      </c>
      <c r="L13" s="1" t="s">
        <v>106</v>
      </c>
      <c r="M13" s="1" t="s">
        <v>62</v>
      </c>
      <c r="N13" s="1" t="s">
        <v>107</v>
      </c>
      <c r="S13" s="69">
        <f t="shared" si="8"/>
        <v>1.521620586</v>
      </c>
      <c r="T13" s="70"/>
    </row>
    <row r="14">
      <c r="B14" s="1" t="s">
        <v>91</v>
      </c>
      <c r="C14" s="1">
        <v>56200.0</v>
      </c>
      <c r="D14" s="1">
        <f t="shared" ref="D14:D17" si="9">C14/3.412141633</f>
        <v>16470.59414</v>
      </c>
      <c r="E14" s="1">
        <v>550.0</v>
      </c>
      <c r="F14" s="3">
        <f t="shared" ref="F14:F17" si="10">E14*0.000471947</f>
        <v>0.25957085</v>
      </c>
      <c r="G14" s="1">
        <v>1.125</v>
      </c>
      <c r="H14" s="1">
        <v>1000.0</v>
      </c>
      <c r="I14" s="3">
        <f t="shared" ref="I14:I17" si="11">D14/(F14*G14*H14)</f>
        <v>56.40282076</v>
      </c>
      <c r="J14" s="1">
        <v>190.0</v>
      </c>
      <c r="K14" s="1">
        <v>288.706</v>
      </c>
      <c r="L14" s="3">
        <f t="shared" ref="L14:L17" si="12">K14+I14</f>
        <v>345.1088208</v>
      </c>
      <c r="M14" s="3">
        <f t="shared" ref="M14:M17" si="13">((L14-273.15)*(9/5))+32</f>
        <v>161.5258774</v>
      </c>
      <c r="N14" s="71">
        <f t="shared" ref="N14:N17" si="14">J14-M14</f>
        <v>28.47412262</v>
      </c>
    </row>
    <row r="15">
      <c r="B15" s="1" t="s">
        <v>93</v>
      </c>
      <c r="C15" s="1">
        <v>79700.0</v>
      </c>
      <c r="D15" s="1">
        <f t="shared" si="9"/>
        <v>23357.76429</v>
      </c>
      <c r="E15" s="1">
        <v>750.0</v>
      </c>
      <c r="F15" s="3">
        <f t="shared" si="10"/>
        <v>0.35396025</v>
      </c>
      <c r="G15" s="1">
        <v>1.125</v>
      </c>
      <c r="H15" s="1">
        <v>1000.0</v>
      </c>
      <c r="I15" s="3">
        <f t="shared" si="11"/>
        <v>58.65759545</v>
      </c>
      <c r="J15" s="1">
        <v>190.0</v>
      </c>
      <c r="K15" s="1">
        <v>288.706</v>
      </c>
      <c r="L15" s="3">
        <f t="shared" si="12"/>
        <v>347.3635954</v>
      </c>
      <c r="M15" s="3">
        <f t="shared" si="13"/>
        <v>165.5844718</v>
      </c>
      <c r="N15" s="71">
        <f t="shared" si="14"/>
        <v>24.41552819</v>
      </c>
    </row>
    <row r="16">
      <c r="B16" s="1" t="s">
        <v>94</v>
      </c>
      <c r="C16" s="1">
        <v>112300.0</v>
      </c>
      <c r="D16" s="1">
        <f t="shared" si="9"/>
        <v>32911.88118</v>
      </c>
      <c r="E16" s="1">
        <v>1100.0</v>
      </c>
      <c r="F16" s="3">
        <f t="shared" si="10"/>
        <v>0.5191417</v>
      </c>
      <c r="G16" s="1">
        <v>1.125</v>
      </c>
      <c r="H16" s="1">
        <v>1000.0</v>
      </c>
      <c r="I16" s="3">
        <f t="shared" si="11"/>
        <v>56.35264032</v>
      </c>
      <c r="J16" s="1">
        <v>190.0</v>
      </c>
      <c r="K16" s="1">
        <v>288.706</v>
      </c>
      <c r="L16" s="3">
        <f t="shared" si="12"/>
        <v>345.0586403</v>
      </c>
      <c r="M16" s="3">
        <f t="shared" si="13"/>
        <v>161.4355526</v>
      </c>
      <c r="N16" s="71">
        <f t="shared" si="14"/>
        <v>28.56444743</v>
      </c>
      <c r="V16" s="72" t="s">
        <v>108</v>
      </c>
    </row>
    <row r="17">
      <c r="B17" s="1" t="s">
        <v>95</v>
      </c>
      <c r="C17" s="1">
        <v>134000.0</v>
      </c>
      <c r="D17" s="1">
        <f t="shared" si="9"/>
        <v>39271.5234</v>
      </c>
      <c r="E17" s="1">
        <v>1250.0</v>
      </c>
      <c r="F17" s="3">
        <f t="shared" si="10"/>
        <v>0.58993375</v>
      </c>
      <c r="G17" s="1">
        <v>1.125</v>
      </c>
      <c r="H17" s="1">
        <v>1000.0</v>
      </c>
      <c r="I17" s="3">
        <f t="shared" si="11"/>
        <v>59.17278136</v>
      </c>
      <c r="J17" s="1">
        <v>190.0</v>
      </c>
      <c r="K17" s="1">
        <v>288.706</v>
      </c>
      <c r="L17" s="3">
        <f t="shared" si="12"/>
        <v>347.8787814</v>
      </c>
      <c r="M17" s="3">
        <f t="shared" si="13"/>
        <v>166.5118064</v>
      </c>
      <c r="N17" s="71">
        <f t="shared" si="14"/>
        <v>23.48819356</v>
      </c>
    </row>
    <row r="18">
      <c r="W18" s="1" t="s">
        <v>109</v>
      </c>
    </row>
    <row r="19">
      <c r="B19" s="1" t="s">
        <v>98</v>
      </c>
      <c r="C19" s="1" t="s">
        <v>110</v>
      </c>
      <c r="D19" s="1" t="s">
        <v>7</v>
      </c>
      <c r="E19" s="1" t="s">
        <v>100</v>
      </c>
      <c r="F19" s="1" t="s">
        <v>101</v>
      </c>
      <c r="G19" s="1" t="s">
        <v>102</v>
      </c>
      <c r="H19" s="1" t="s">
        <v>103</v>
      </c>
      <c r="I19" s="1" t="s">
        <v>111</v>
      </c>
      <c r="J19" s="1" t="s">
        <v>60</v>
      </c>
      <c r="K19" s="1" t="s">
        <v>105</v>
      </c>
      <c r="L19" s="1" t="s">
        <v>106</v>
      </c>
      <c r="M19" s="1" t="s">
        <v>62</v>
      </c>
      <c r="N19" s="1" t="s">
        <v>107</v>
      </c>
      <c r="W19" s="1" t="s">
        <v>112</v>
      </c>
    </row>
    <row r="20">
      <c r="B20" s="1" t="s">
        <v>91</v>
      </c>
      <c r="C20" s="1">
        <v>44400.0</v>
      </c>
      <c r="D20" s="1">
        <f t="shared" ref="D20:D23" si="15">C20/3.412141633</f>
        <v>13012.35552</v>
      </c>
      <c r="E20" s="1">
        <v>550.0</v>
      </c>
      <c r="F20" s="3">
        <f t="shared" ref="F20:F23" si="16">E20*0.000471947</f>
        <v>0.25957085</v>
      </c>
      <c r="G20" s="1">
        <v>1.125</v>
      </c>
      <c r="H20" s="1">
        <v>1000.0</v>
      </c>
      <c r="I20" s="3">
        <f t="shared" ref="I20:I23" si="17">D20/(F14*G14*H14)</f>
        <v>44.56023562</v>
      </c>
      <c r="J20" s="1">
        <v>160.0</v>
      </c>
      <c r="K20" s="1">
        <v>288.706</v>
      </c>
      <c r="L20" s="3">
        <f t="shared" ref="L20:L23" si="18">K20+I20</f>
        <v>333.2662356</v>
      </c>
      <c r="M20" s="3">
        <f t="shared" ref="M20:M23" si="19">((L20-273.15)*(9/5))+32</f>
        <v>140.2092241</v>
      </c>
      <c r="N20" s="71">
        <f t="shared" ref="N20:N23" si="20">J20-M20</f>
        <v>19.79077588</v>
      </c>
    </row>
    <row r="21">
      <c r="B21" s="1" t="s">
        <v>93</v>
      </c>
      <c r="C21" s="1">
        <v>62900.0</v>
      </c>
      <c r="D21" s="1">
        <f t="shared" si="15"/>
        <v>18434.17031</v>
      </c>
      <c r="E21" s="1">
        <v>750.0</v>
      </c>
      <c r="F21" s="3">
        <f t="shared" si="16"/>
        <v>0.35396025</v>
      </c>
      <c r="G21" s="1">
        <v>1.125</v>
      </c>
      <c r="H21" s="1">
        <v>1000.0</v>
      </c>
      <c r="I21" s="3">
        <f t="shared" si="17"/>
        <v>46.29313367</v>
      </c>
      <c r="J21" s="1">
        <v>160.0</v>
      </c>
      <c r="K21" s="1">
        <v>288.706</v>
      </c>
      <c r="L21" s="3">
        <f t="shared" si="18"/>
        <v>334.9991337</v>
      </c>
      <c r="M21" s="3">
        <f t="shared" si="19"/>
        <v>143.3284406</v>
      </c>
      <c r="N21" s="71">
        <f t="shared" si="20"/>
        <v>16.67155939</v>
      </c>
    </row>
    <row r="22">
      <c r="B22" s="1" t="s">
        <v>94</v>
      </c>
      <c r="C22" s="1">
        <v>84300.0</v>
      </c>
      <c r="D22" s="1">
        <f t="shared" si="15"/>
        <v>24705.89122</v>
      </c>
      <c r="E22" s="1">
        <v>1100.0</v>
      </c>
      <c r="F22" s="3">
        <f t="shared" si="16"/>
        <v>0.5191417</v>
      </c>
      <c r="G22" s="1">
        <v>1.125</v>
      </c>
      <c r="H22" s="1">
        <v>1000.0</v>
      </c>
      <c r="I22" s="3">
        <f t="shared" si="17"/>
        <v>42.30211557</v>
      </c>
      <c r="J22" s="1">
        <v>160.0</v>
      </c>
      <c r="K22" s="1">
        <v>288.706</v>
      </c>
      <c r="L22" s="3">
        <f t="shared" si="18"/>
        <v>331.0081156</v>
      </c>
      <c r="M22" s="3">
        <f t="shared" si="19"/>
        <v>136.144608</v>
      </c>
      <c r="N22" s="71">
        <f t="shared" si="20"/>
        <v>23.85539197</v>
      </c>
    </row>
    <row r="23">
      <c r="B23" s="1" t="s">
        <v>95</v>
      </c>
      <c r="C23" s="1">
        <v>100700.0</v>
      </c>
      <c r="D23" s="1">
        <f t="shared" si="15"/>
        <v>29512.25677</v>
      </c>
      <c r="E23" s="1">
        <v>1250.0</v>
      </c>
      <c r="F23" s="3">
        <f t="shared" si="16"/>
        <v>0.58993375</v>
      </c>
      <c r="G23" s="1">
        <v>1.125</v>
      </c>
      <c r="H23" s="1">
        <v>1000.0</v>
      </c>
      <c r="I23" s="3">
        <f t="shared" si="17"/>
        <v>44.4679036</v>
      </c>
      <c r="J23" s="1">
        <v>160.0</v>
      </c>
      <c r="K23" s="1">
        <v>288.706</v>
      </c>
      <c r="L23" s="3">
        <f t="shared" si="18"/>
        <v>333.1739036</v>
      </c>
      <c r="M23" s="3">
        <f t="shared" si="19"/>
        <v>140.0430265</v>
      </c>
      <c r="N23" s="71">
        <f t="shared" si="20"/>
        <v>19.95697352</v>
      </c>
    </row>
    <row r="25">
      <c r="B25" s="1" t="s">
        <v>98</v>
      </c>
      <c r="C25" s="1" t="s">
        <v>113</v>
      </c>
      <c r="D25" s="1" t="s">
        <v>7</v>
      </c>
      <c r="E25" s="1" t="s">
        <v>100</v>
      </c>
      <c r="F25" s="1" t="s">
        <v>101</v>
      </c>
      <c r="G25" s="1" t="s">
        <v>102</v>
      </c>
      <c r="H25" s="1" t="s">
        <v>103</v>
      </c>
      <c r="I25" s="1" t="s">
        <v>114</v>
      </c>
      <c r="J25" s="1" t="s">
        <v>60</v>
      </c>
      <c r="K25" s="1" t="s">
        <v>105</v>
      </c>
      <c r="L25" s="1" t="s">
        <v>106</v>
      </c>
      <c r="M25" s="1" t="s">
        <v>62</v>
      </c>
      <c r="N25" s="1" t="s">
        <v>107</v>
      </c>
    </row>
    <row r="26">
      <c r="B26" s="1" t="s">
        <v>91</v>
      </c>
      <c r="C26" s="3">
        <f t="shared" ref="C26:C29" si="21">D26*3.412141633</f>
        <v>38748.16136</v>
      </c>
      <c r="D26" s="71">
        <f t="shared" ref="D26:D29" si="22">F26*G26*H26*I26</f>
        <v>11355.96512</v>
      </c>
      <c r="E26" s="1">
        <v>550.0</v>
      </c>
      <c r="F26" s="3">
        <f t="shared" ref="F26:F29" si="23">E26*0.000471947</f>
        <v>0.25957085</v>
      </c>
      <c r="G26" s="1">
        <v>1.125</v>
      </c>
      <c r="H26" s="1">
        <v>1000.0</v>
      </c>
      <c r="I26" s="3">
        <f t="shared" ref="I26:I29" si="24">L26-K26</f>
        <v>38.888</v>
      </c>
      <c r="J26" s="1">
        <v>140.0</v>
      </c>
      <c r="K26" s="1">
        <v>288.706</v>
      </c>
      <c r="L26" s="1">
        <v>327.594</v>
      </c>
      <c r="M26" s="3">
        <f t="shared" ref="M26:M29" si="25">J26-N26</f>
        <v>130</v>
      </c>
      <c r="N26" s="1">
        <v>10.0</v>
      </c>
    </row>
    <row r="27">
      <c r="B27" s="1" t="s">
        <v>93</v>
      </c>
      <c r="C27" s="3">
        <f t="shared" si="21"/>
        <v>52838.40185</v>
      </c>
      <c r="D27" s="71">
        <f t="shared" si="22"/>
        <v>15485.40698</v>
      </c>
      <c r="E27" s="1">
        <v>750.0</v>
      </c>
      <c r="F27" s="3">
        <f t="shared" si="23"/>
        <v>0.35396025</v>
      </c>
      <c r="G27" s="1">
        <v>1.125</v>
      </c>
      <c r="H27" s="1">
        <v>1000.0</v>
      </c>
      <c r="I27" s="3">
        <f t="shared" si="24"/>
        <v>38.888</v>
      </c>
      <c r="J27" s="1">
        <v>140.0</v>
      </c>
      <c r="K27" s="1">
        <v>288.706</v>
      </c>
      <c r="L27" s="1">
        <v>327.594</v>
      </c>
      <c r="M27" s="3">
        <f t="shared" si="25"/>
        <v>130</v>
      </c>
      <c r="N27" s="1">
        <v>10.0</v>
      </c>
    </row>
    <row r="28">
      <c r="B28" s="1" t="s">
        <v>94</v>
      </c>
      <c r="C28" s="3">
        <f t="shared" si="21"/>
        <v>77496.32271</v>
      </c>
      <c r="D28" s="71">
        <f t="shared" si="22"/>
        <v>22711.93023</v>
      </c>
      <c r="E28" s="1">
        <v>1100.0</v>
      </c>
      <c r="F28" s="3">
        <f t="shared" si="23"/>
        <v>0.5191417</v>
      </c>
      <c r="G28" s="1">
        <v>1.125</v>
      </c>
      <c r="H28" s="1">
        <v>1000.0</v>
      </c>
      <c r="I28" s="3">
        <f t="shared" si="24"/>
        <v>38.888</v>
      </c>
      <c r="J28" s="1">
        <v>140.0</v>
      </c>
      <c r="K28" s="1">
        <v>288.706</v>
      </c>
      <c r="L28" s="1">
        <v>327.594</v>
      </c>
      <c r="M28" s="3">
        <f t="shared" si="25"/>
        <v>130</v>
      </c>
      <c r="N28" s="1">
        <v>10.0</v>
      </c>
    </row>
    <row r="29">
      <c r="B29" s="1" t="s">
        <v>95</v>
      </c>
      <c r="C29" s="3">
        <f t="shared" si="21"/>
        <v>88064.00309</v>
      </c>
      <c r="D29" s="71">
        <f t="shared" si="22"/>
        <v>25809.01163</v>
      </c>
      <c r="E29" s="1">
        <v>1250.0</v>
      </c>
      <c r="F29" s="3">
        <f t="shared" si="23"/>
        <v>0.58993375</v>
      </c>
      <c r="G29" s="1">
        <v>1.125</v>
      </c>
      <c r="H29" s="1">
        <v>1000.0</v>
      </c>
      <c r="I29" s="3">
        <f t="shared" si="24"/>
        <v>38.888</v>
      </c>
      <c r="J29" s="1">
        <v>140.0</v>
      </c>
      <c r="K29" s="1">
        <v>288.706</v>
      </c>
      <c r="L29" s="1">
        <v>327.594</v>
      </c>
      <c r="M29" s="3">
        <f t="shared" si="25"/>
        <v>130</v>
      </c>
      <c r="N29" s="1">
        <v>10.0</v>
      </c>
    </row>
    <row r="33">
      <c r="C33" s="3">
        <f t="shared" ref="C33:C36" si="26">C14/C26</f>
        <v>1.4503914</v>
      </c>
    </row>
    <row r="34">
      <c r="C34" s="3">
        <f t="shared" si="26"/>
        <v>1.508372646</v>
      </c>
    </row>
    <row r="35">
      <c r="C35" s="3">
        <f t="shared" si="26"/>
        <v>1.449101016</v>
      </c>
    </row>
    <row r="36">
      <c r="C36" s="3">
        <f t="shared" si="26"/>
        <v>1.521620586</v>
      </c>
    </row>
    <row r="37">
      <c r="C37" s="3">
        <f>AVERAGE(C33:C36)</f>
        <v>1.482371412</v>
      </c>
    </row>
    <row r="46">
      <c r="C46" s="1" t="s">
        <v>115</v>
      </c>
      <c r="E46" s="1" t="s">
        <v>116</v>
      </c>
    </row>
    <row r="47">
      <c r="C47" s="1" t="s">
        <v>117</v>
      </c>
    </row>
    <row r="48">
      <c r="C48" s="1" t="s">
        <v>118</v>
      </c>
    </row>
    <row r="49">
      <c r="C49" s="1" t="s">
        <v>119</v>
      </c>
    </row>
    <row r="50">
      <c r="C50" s="1" t="s">
        <v>120</v>
      </c>
    </row>
    <row r="52">
      <c r="G52" s="1" t="s">
        <v>121</v>
      </c>
      <c r="H52" s="1" t="s">
        <v>122</v>
      </c>
      <c r="I52" s="1" t="s">
        <v>123</v>
      </c>
      <c r="J52" s="1" t="s">
        <v>7</v>
      </c>
    </row>
    <row r="53">
      <c r="C53" s="18">
        <v>318.7656355283308</v>
      </c>
      <c r="D53" s="19" t="s">
        <v>29</v>
      </c>
      <c r="G53" s="1" t="s">
        <v>124</v>
      </c>
      <c r="H53" s="1" t="s">
        <v>125</v>
      </c>
      <c r="I53" s="1" t="s">
        <v>126</v>
      </c>
    </row>
    <row r="54">
      <c r="C54" s="73">
        <f>C53*293071.070172</f>
        <v>93420985.94</v>
      </c>
      <c r="D54" s="14" t="s">
        <v>127</v>
      </c>
    </row>
    <row r="55">
      <c r="C55" s="42">
        <f>C54/8760</f>
        <v>10664.49611</v>
      </c>
      <c r="D55" s="14" t="s">
        <v>7</v>
      </c>
    </row>
  </sheetData>
  <hyperlinks>
    <hyperlink r:id="rId1" ref="V16"/>
  </hyperlinks>
  <drawing r:id="rId2"/>
</worksheet>
</file>